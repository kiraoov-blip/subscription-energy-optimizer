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c556a189604b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출처_및_계산방법" sheetId="1" r:id="R22b6593a64df4e51"/>
    <x:sheet xmlns:r="http://schemas.openxmlformats.org/officeDocument/2006/relationships" name="가전_입력가정" sheetId="2" r:id="Rb8b1764ddc0a456c"/>
    <x:sheet xmlns:r="http://schemas.openxmlformats.org/officeDocument/2006/relationships" name="봄가을_주중" sheetId="3" r:id="Rc04c43c9258b495b"/>
    <x:sheet xmlns:r="http://schemas.openxmlformats.org/officeDocument/2006/relationships" name="봄가을_주말" sheetId="4" r:id="Reef96cb08c104573"/>
    <x:sheet xmlns:r="http://schemas.openxmlformats.org/officeDocument/2006/relationships" name="여름_주중" sheetId="5" r:id="Ra2af5234f81e4622"/>
    <x:sheet xmlns:r="http://schemas.openxmlformats.org/officeDocument/2006/relationships" name="여름_주말" sheetId="6" r:id="Rdd71dbb1d9fc4396"/>
    <x:sheet xmlns:r="http://schemas.openxmlformats.org/officeDocument/2006/relationships" name="겨울_주중" sheetId="7" r:id="Rc3c8db81903b4bbe"/>
    <x:sheet xmlns:r="http://schemas.openxmlformats.org/officeDocument/2006/relationships" name="겨울_주말" sheetId="8" r:id="R918e6aabeede44a0"/>
    <x:sheet xmlns:r="http://schemas.openxmlformats.org/officeDocument/2006/relationships" name="Curve_Data_값" sheetId="9" r:id="Raba0a0655ab640c1"/>
    <x:sheet xmlns:r="http://schemas.openxmlformats.org/officeDocument/2006/relationships" name="요금제_설정" sheetId="10" r:id="R3b4540ecd3ba4f47"/>
    <x:sheet xmlns:r="http://schemas.openxmlformats.org/officeDocument/2006/relationships" name="시간대가중치" sheetId="11" r:id="R7a9bb424d9ae49f8"/>
    <x:sheet xmlns:r="http://schemas.openxmlformats.org/officeDocument/2006/relationships" name="가전제어_설정" sheetId="12" r:id="R87d6dc69ca464b9a"/>
  </x:sheets>
</x:workbook>
</file>

<file path=xl/sharedStrings.xml><?xml version="1.0" encoding="utf-8"?>
<x:sst xmlns:x="http://schemas.openxmlformats.org/spreadsheetml/2006/main">
  <x:si>
    <x:t xml:space="preserve">구분</x:t>
  </x:si>
  <x:si>
    <x:t xml:space="preserve">내용</x:t>
  </x:si>
  <x:si>
    <x:t xml:space="preserve">URL</x:t>
  </x:si>
  <x:si>
    <x:t xml:space="preserve">비고</x:t>
  </x:si>
  <x:si>
    <x:t xml:space="preserve">효율등급 제품검색</x:t>
  </x:si>
  <x:si>
    <x:t xml:space="preserve">한국에너지공단 효율관리제도는 신고제품별 소비효율등급, 소비전력량, 용량, CO2, 연간 에너지비용 등을 확인할 수 있음을 명시</x:t>
  </x:si>
  <x:si>
    <x:t xml:space="preserve">https://eep.energy.or.kr/certification/certi_intro.aspx</x:t>
  </x:si>
  <x:si>
    <x:t xml:space="preserve">대형 가전 입력값 검증 기준</x:t>
  </x:si>
  <x:si>
    <x:t xml:space="preserve">효율등급 적용범위</x:t>
  </x:si>
  <x:si>
    <x:t xml:space="preserve">에너지소비효율등급표시제도 대상품목은 전기냉장고 등 42개 품목</x:t>
  </x:si>
  <x:si>
    <x:t xml:space="preserve">https://eep.energy.or.kr/business_introduction/effi_standard.aspx</x:t>
  </x:si>
  <x:si>
    <x:t xml:space="preserve">가전 목록 구성 기준</x:t>
  </x:si>
  <x:si>
    <x:t xml:space="preserve">공공데이터</x:t>
  </x:si>
  <x:si>
    <x:t xml:space="preserve">한국에너지공단 기기부문 제품정보는 1~5등급, 소비전력량, 용량, 연간 비용 등 라벨 항목 포함</x:t>
  </x:si>
  <x:si>
    <x:t xml:space="preserve">https://www.data.go.kr/data/15083315/fileData.do</x:t>
  </x:si>
  <x:si>
    <x:t xml:space="preserve">세부 모델값 대체 가능</x:t>
  </x:si>
  <x:si>
    <x:t xml:space="preserve">전력량 계산</x:t>
  </x:si>
  <x:si>
    <x:t xml:space="preserve">시간평균부하(kW) × 1시간 = 시간별 전력량(kWh); 단시간 고정격 기기는 사용분수를 반영</x:t>
  </x:si>
  <x:si>
    <x:t xml:space="preserve">https://www.energy.gov/energysaver/estimating-appliance-and-home-electronic-energy-use</x:t>
  </x:si>
  <x:si>
    <x:t xml:space="preserve">DOE 계산식 준용</x:t>
  </x:si>
  <x:si>
    <x:t xml:space="preserve">정격과 평균부하 구분</x:t>
  </x:si>
  <x:si>
    <x:t xml:space="preserve">라벨/설명서의 입력전력은 W 또는 kW로 표시되며, 냉장고·에어컨 등은 온도조절/듀티사이클로 실제 평균부하가 낮음</x:t>
  </x:si>
  <x:si>
    <x:t xml:space="preserve">https://www.sa.gov.au/topics/energy-and-environment/using-saving-energy/calculate-running-costs</x:t>
  </x:si>
  <x:si>
    <x:t xml:space="preserve">정격전력 단순합산 방지</x:t>
  </x:si>
  <x:si>
    <x:t xml:space="preserve">고효율 제품 범위</x:t>
  </x:si>
  <x:si>
    <x:t xml:space="preserve">ENERGY STAR 제품군에는 냉장고, 건조기, 세탁기, 제습기, 식기세척기, TV, 히트펌프, 환기팬, 조명 등이 포함</x:t>
  </x:si>
  <x:si>
    <x:t xml:space="preserve">https://www.energystar.gov/products/products-list</x:t>
  </x:si>
  <x:si>
    <x:t xml:space="preserve">비한국 효율등급 대상 보완</x:t>
  </x:si>
  <x:si>
    <x:t xml:space="preserve">가정 부하 시간대</x:t>
  </x:si>
  <x:si>
    <x:t xml:space="preserve">한국 주택용 부하는 통상 아침과 저녁 피크가 있으며, 20시 전후 피크가 관찰됨</x:t>
  </x:si>
  <x:si>
    <x:t xml:space="preserve">https://www.keei.re.kr/keei/download/keer/KEER21_20-2_07.pdf</x:t>
  </x:si>
  <x:si>
    <x:t xml:space="preserve">시간대 배치 참고</x:t>
  </x:si>
  <x:si>
    <x:t xml:space="preserve">모델 범위</x:t>
  </x:si>
  <x:si>
    <x:t xml:space="preserve">4인가구, 전기취사·건조기·에어컨·전기보조난방을 보유한 도시형 공동주택을 기준으로 함</x:t>
  </x:si>
  <x:si>
    <x:t xml:space="preserve">EV, 태양광, ESS, 전기온수기, 전기차충전, 전기보일러는 제외</x:t>
  </x:si>
  <x:si>
    <x:t xml:space="preserve">No</x:t>
  </x:si>
  <x:si>
    <x:t xml:space="preserve">분류</x:t>
  </x:si>
  <x:si>
    <x:t xml:space="preserve">가전기기</x:t>
  </x:si>
  <x:si>
    <x:t xml:space="preserve">수요 이전 가능 여부</x:t>
  </x:si>
  <x:si>
    <x:t xml:space="preserve">최상위 효율 기준/가정</x:t>
  </x:si>
  <x:si>
    <x:t xml:space="preserve">라벨·정격 소비전력(kW)</x:t>
  </x:si>
  <x:si>
    <x:t xml:space="preserve">모델링 활성 평균(kW)</x:t>
  </x:si>
  <x:si>
    <x:t xml:space="preserve">적용 계절</x:t>
  </x:si>
  <x:si>
    <x:t xml:space="preserve">보편적 사용 시간대</x:t>
  </x:si>
  <x:si>
    <x:t xml:space="preserve">출처 URL</x:t>
  </x:si>
  <x:si>
    <x:t xml:space="preserve">상시·냉장</x:t>
  </x:si>
  <x:si>
    <x:t xml:space="preserve">냉장고</x:t>
  </x:si>
  <x:si>
    <x:t xml:space="preserve">불가</x:t>
  </x:si>
  <x:si>
    <x:t xml:space="preserve">효율등급 1등급 대형 냉장고 가정</x:t>
  </x:si>
  <x:si>
    <x:t xml:space="preserve">전계절</x:t>
  </x:si>
  <x:si>
    <x:t xml:space="preserve">24시간, 압축기 듀티사이클 평균</x:t>
  </x:si>
  <x:si>
    <x:t xml:space="preserve">계절별 보정: 여름 0.045, 겨울 0.035kW</x:t>
  </x:si>
  <x:si>
    <x:t xml:space="preserve">김치냉장고</x:t>
  </x:si>
  <x:si>
    <x:t xml:space="preserve">효율등급 1등급 가정</x:t>
  </x:si>
  <x:si>
    <x:t xml:space="preserve">계절별 보정: 여름 0.028, 겨울 0.022kW</x:t>
  </x:si>
  <x:si>
    <x:t xml:space="preserve">냉동고</x:t>
  </x:si>
  <x:si>
    <x:t xml:space="preserve">최고효율/고효율 제품 가정</x:t>
  </x:si>
  <x:si>
    <x:t xml:space="preserve">계절별 보정: 여름 0.020, 겨울 0.016kW</x:t>
  </x:si>
  <x:si>
    <x:t xml:space="preserve">상시·급수</x:t>
  </x:si>
  <x:si>
    <x:t xml:space="preserve">정수기</x:t>
  </x:si>
  <x:si>
    <x:t xml:space="preserve">고효율 냉온정수기 가정</x:t>
  </x:si>
  <x:si>
    <x:t xml:space="preserve">06~23시 0.035~0.045, 심야 0.020</x:t>
  </x:si>
  <x:si>
    <x:t xml:space="preserve">가열·냉각 피크는 크나 시간평균 부하는 낮게 반영</x:t>
  </x:si>
  <x:si>
    <x:t xml:space="preserve">상시·IT</x:t>
  </x:si>
  <x:si>
    <x:t xml:space="preserve">공유기·모뎀</x:t>
  </x:si>
  <x:si>
    <x:t xml:space="preserve">저전력 통신기기</x:t>
  </x:si>
  <x:si>
    <x:t xml:space="preserve">24시간</x:t>
  </x:si>
  <x:si>
    <x:t xml:space="preserve">가정용 통신기기 상시부하</x:t>
  </x:si>
  <x:si>
    <x:t xml:space="preserve">스마트홈·CCTV</x:t>
  </x:si>
  <x:si>
    <x:t xml:space="preserve">저전력 기기 묶음</x:t>
  </x:si>
  <x:si>
    <x:t xml:space="preserve">AI스피커, 허브, 홈캠 등 합산</x:t>
  </x:si>
  <x:si>
    <x:t xml:space="preserve">상시·대기</x:t>
  </x:si>
  <x:si>
    <x:t xml:space="preserve">대기전력·충전대기</x:t>
  </x:si>
  <x:si>
    <x:t xml:space="preserve">대기전력 관리 제품 가정</x:t>
  </x:si>
  <x:si>
    <x:t xml:space="preserve">셋톱 대기, 충전기, 소형 어댑터 합산</x:t>
  </x:si>
  <x:si>
    <x:t xml:space="preserve">욕실</x:t>
  </x:si>
  <x:si>
    <x:t xml:space="preserve">비데</x:t>
  </x:si>
  <x:si>
    <x:t xml:space="preserve">절전형/순간온수형 가정</x:t>
  </x:si>
  <x:si>
    <x:t xml:space="preserve">24시간 평균, 겨울 0.025</x:t>
  </x:si>
  <x:si>
    <x:t xml:space="preserve">히터 정격 대비 평균부하 반영</x:t>
  </x:si>
  <x:si>
    <x:t xml:space="preserve">공기질</x:t>
  </x:si>
  <x:si>
    <x:t xml:space="preserve">공기청정기</x:t>
  </x:si>
  <x:si>
    <x:t xml:space="preserve">효율등급 1등급/고효율 제품 가정</x:t>
  </x:si>
  <x:si>
    <x:t xml:space="preserve">봄가을·겨울 06~23시, 여름 18~23시</x:t>
  </x:si>
  <x:si>
    <x:t xml:space="preserve">자동운전 중속 평균</x:t>
  </x:si>
  <x:si>
    <x:t xml:space="preserve">환기</x:t>
  </x:si>
  <x:si>
    <x:t xml:space="preserve">환기장치·욕실팬</x:t>
  </x:si>
  <x:si>
    <x:t xml:space="preserve">저전력 환기팬</x:t>
  </x:si>
  <x:si>
    <x:t xml:space="preserve">조리·샤워 시간대</x:t>
  </x:si>
  <x:si>
    <x:t xml:space="preserve">조리·욕실 사용시 부분운전</x:t>
  </x:si>
  <x:si>
    <x:t xml:space="preserve">조명</x:t>
  </x:si>
  <x:si>
    <x:t xml:space="preserve">LED조명</x:t>
  </x:si>
  <x:si>
    <x:t xml:space="preserve">LED 고효율 조명 전체</x:t>
  </x:si>
  <x:si>
    <x:t xml:space="preserve">기상·저녁 재실 시간대</x:t>
  </x:si>
  <x:si>
    <x:t xml:space="preserve">거실·주방·방 조명 합산, 겨울 증량</x:t>
  </x:si>
  <x:si>
    <x:t xml:space="preserve">AV</x:t>
  </x:si>
  <x:si>
    <x:t xml:space="preserve">TV</x:t>
  </x:si>
  <x:si>
    <x:t xml:space="preserve">고효율 TV</x:t>
  </x:si>
  <x:si>
    <x:t xml:space="preserve">아침 일부, 오후·저녁</x:t>
  </x:si>
  <x:si>
    <x:t xml:space="preserve">대형 LED/OLED TV 평균</x:t>
  </x:si>
  <x:si>
    <x:t xml:space="preserve">셋톱박스·사운드바</x:t>
  </x:si>
  <x:si>
    <x:t xml:space="preserve">절전형 주변기기</x:t>
  </x:si>
  <x:si>
    <x:t xml:space="preserve">TV 사용 시간대</x:t>
  </x:si>
  <x:si>
    <x:t xml:space="preserve">TV와 동시 사용</x:t>
  </x:si>
  <x:si>
    <x:t xml:space="preserve">IT</x:t>
  </x:si>
  <x:si>
    <x:t xml:space="preserve">데스크톱·모니터</x:t>
  </x:si>
  <x:si>
    <x:t xml:space="preserve">절전형 PC·모니터</x:t>
  </x:si>
  <x:si>
    <x:t xml:space="preserve">오후·저녁, 주말 낮 포함</x:t>
  </x:si>
  <x:si>
    <x:t xml:space="preserve">2대 이하 합산 평균</x:t>
  </x:si>
  <x:si>
    <x:t xml:space="preserve">노트북·태블릿·휴대폰충전</x:t>
  </x:si>
  <x:si>
    <x:t xml:space="preserve">가능</x:t>
  </x:si>
  <x:si>
    <x:t xml:space="preserve">저전력 모바일기기 묶음</x:t>
  </x:si>
  <x:si>
    <x:t xml:space="preserve">오후·저녁, 취침 전 충전</x:t>
  </x:si>
  <x:si>
    <x:t xml:space="preserve">가족 4명 충전·사용 평균</x:t>
  </x:si>
  <x:si>
    <x:t xml:space="preserve">게임콘솔</x:t>
  </x:si>
  <x:si>
    <x:t xml:space="preserve">절전모드 적용 가정</x:t>
  </x:si>
  <x:si>
    <x:t xml:space="preserve">저녁, 주말 오후</x:t>
  </x:si>
  <x:si>
    <x:t xml:space="preserve">사용빈도 평균화</x:t>
  </x:si>
  <x:si>
    <x:t xml:space="preserve">주방</x:t>
  </x:si>
  <x:si>
    <x:t xml:space="preserve">전기밥솥_취사</x:t>
  </x:si>
  <x:si>
    <x:t xml:space="preserve">아침·저녁 취사 시간대</x:t>
  </x:si>
  <x:si>
    <x:t xml:space="preserve">1시간 평균값, 실제 취사 피크는 더 큼</x:t>
  </x:si>
  <x:si>
    <x:t xml:space="preserve">전기밥솥_보온</x:t>
  </x:si>
  <x:si>
    <x:t xml:space="preserve">식사 후 보온 시간대</x:t>
  </x:si>
  <x:si>
    <x:t xml:space="preserve">보온 장시간 사용</x:t>
  </x:si>
  <x:si>
    <x:t xml:space="preserve">인덕션·전기레인지</x:t>
  </x:si>
  <x:si>
    <x:t xml:space="preserve">아침·점심·저녁 조리</x:t>
  </x:si>
  <x:si>
    <x:t xml:space="preserve">동시화구 정격보다 낮은 1시간 평균</x:t>
  </x:si>
  <x:si>
    <x:t xml:space="preserve">전자레인지</x:t>
  </x:si>
  <x:si>
    <x:t xml:space="preserve">고효율 제품 가정</x:t>
  </x:si>
  <x:si>
    <x:t xml:space="preserve">식사 준비 보조</x:t>
  </x:si>
  <x:si>
    <x:t xml:space="preserve">수분 사용을 1시간 평균으로 환산</x:t>
  </x:si>
  <x:si>
    <x:t xml:space="preserve">오븐·에어프라이어</x:t>
  </x:si>
  <x:si>
    <x:t xml:space="preserve">고효율/소형 조리기기</x:t>
  </x:si>
  <x:si>
    <x:t xml:space="preserve">저녁, 주말 점심·저녁</x:t>
  </x:si>
  <x:si>
    <x:t xml:space="preserve">주말 사용빈도 높게 반영</x:t>
  </x:si>
  <x:si>
    <x:t xml:space="preserve">전기주전자·커피머신</x:t>
  </x:si>
  <x:si>
    <x:t xml:space="preserve">고효율 소형가전</x:t>
  </x:si>
  <x:si>
    <x:t xml:space="preserve">아침·간식·저녁</x:t>
  </x:si>
  <x:si>
    <x:t xml:space="preserve">정격 1.5kW이나 사용시간 짧음</x:t>
  </x:si>
  <x:si>
    <x:t xml:space="preserve">식기세척기</x:t>
  </x:si>
  <x:si>
    <x:t xml:space="preserve">저녁 식후, 주말 점심 후</x:t>
  </x:si>
  <x:si>
    <x:t xml:space="preserve">가열건조 포함 여부에 따라 차이 큼</x:t>
  </x:si>
  <x:si>
    <x:t xml:space="preserve">음식물처리기</x:t>
  </x:si>
  <x:si>
    <x:t xml:space="preserve">절전형 제품</x:t>
  </x:si>
  <x:si>
    <x:t xml:space="preserve">저녁 식후</x:t>
  </x:si>
  <x:si>
    <x:t xml:space="preserve">짧은 운전시간 평균화</x:t>
  </x:si>
  <x:si>
    <x:t xml:space="preserve">세탁·청소</x:t>
  </x:si>
  <x:si>
    <x:t xml:space="preserve">세탁기</x:t>
  </x:si>
  <x:si>
    <x:t xml:space="preserve">효율등급 1등급 드럼세탁기 가정</x:t>
  </x:si>
  <x:si>
    <x:t xml:space="preserve">주중 저녁 일부, 주말 낮</x:t>
  </x:si>
  <x:si>
    <x:t xml:space="preserve">온수세탁 미사용 기준에 가까움</x:t>
  </x:si>
  <x:si>
    <x:t xml:space="preserve">의류건조기</x:t>
  </x:si>
  <x:si>
    <x:t xml:space="preserve">히트펌프식 고효율/1등급 가정</x:t>
  </x:si>
  <x:si>
    <x:t xml:space="preserve">주중 밤 일부, 주말 낮</x:t>
  </x:si>
  <x:si>
    <x:t xml:space="preserve">전열식이 아닌 히트펌프식 가정</x:t>
  </x:si>
  <x:si>
    <x:t xml:space="preserve">의류관리기</x:t>
  </x:si>
  <x:si>
    <x:t xml:space="preserve">고효율 스팀 의류관리기</x:t>
  </x:si>
  <x:si>
    <x:t xml:space="preserve">저녁, 주말 밤</x:t>
  </x:si>
  <x:si>
    <x:t xml:space="preserve">주간 사용빈도 평균화</x:t>
  </x:si>
  <x:si>
    <x:t xml:space="preserve">로봇청소기</x:t>
  </x:si>
  <x:si>
    <x:t xml:space="preserve">저전력 로봇청소기</x:t>
  </x:si>
  <x:si>
    <x:t xml:space="preserve">주중 오전, 주말 오전</x:t>
  </x:si>
  <x:si>
    <x:t xml:space="preserve">운전+충전 평균</x:t>
  </x:si>
  <x:si>
    <x:t xml:space="preserve">무선청소기·충전</x:t>
  </x:si>
  <x:si>
    <x:t xml:space="preserve">고효율 무선청소기</x:t>
  </x:si>
  <x:si>
    <x:t xml:space="preserve">주말 청소, 저녁 충전</x:t>
  </x:si>
  <x:si>
    <x:t xml:space="preserve">모터 정격보다 1시간 평균 낮게 반영</x:t>
  </x:si>
  <x:si>
    <x:t xml:space="preserve">다리미·스팀다리미</x:t>
  </x:si>
  <x:si>
    <x:t xml:space="preserve">고효율 제품</x:t>
  </x:si>
  <x:si>
    <x:t xml:space="preserve">주말 오후</x:t>
  </x:si>
  <x:si>
    <x:t xml:space="preserve">온도조절 듀티사이클 평균</x:t>
  </x:si>
  <x:si>
    <x:t xml:space="preserve">헤어드라이어</x:t>
  </x:si>
  <x:si>
    <x:t xml:space="preserve">기상·취침 전</x:t>
  </x:si>
  <x:si>
    <x:t xml:space="preserve">고정격·단시간 사용</x:t>
  </x:si>
  <x:si>
    <x:t xml:space="preserve">냉방</x:t>
  </x:si>
  <x:si>
    <x:t xml:space="preserve">에어컨_거실</x:t>
  </x:si>
  <x:si>
    <x:t xml:space="preserve">효율등급 1등급 인버터 스탠드/시스템 가정</x:t>
  </x:si>
  <x:si>
    <x:t xml:space="preserve">여름</x:t>
  </x:si>
  <x:si>
    <x:t xml:space="preserve">주중 18~23시, 주말 11~23시 중심</x:t>
  </x:si>
  <x:si>
    <x:t xml:space="preserve">냉방 정격입력보다 낮은 평균 운전</x:t>
  </x:si>
  <x:si>
    <x:t xml:space="preserve">에어컨_침실</x:t>
  </x:si>
  <x:si>
    <x:t xml:space="preserve">효율등급 1등급 벽걸이/소형 인버터 가정</x:t>
  </x:si>
  <x:si>
    <x:t xml:space="preserve">22~06시 취침 냉방</x:t>
  </x:si>
  <x:si>
    <x:t xml:space="preserve">취침 중 저부하 운전</x:t>
  </x:si>
  <x:si>
    <x:t xml:space="preserve">선풍기·서큘레이터</x:t>
  </x:si>
  <x:si>
    <x:t xml:space="preserve">고효율 BLDC/저전력 제품</x:t>
  </x:si>
  <x:si>
    <x:t xml:space="preserve">냉방 보조, 야간</x:t>
  </x:si>
  <x:si>
    <x:t xml:space="preserve">2대 내외 합산</x:t>
  </x:si>
  <x:si>
    <x:t xml:space="preserve">냉방·제습</x:t>
  </x:si>
  <x:si>
    <x:t xml:space="preserve">제습기</x:t>
  </x:si>
  <x:si>
    <x:t xml:space="preserve">장마·습도 높은 낮</x:t>
  </x:si>
  <x:si>
    <x:t xml:space="preserve">주말 재실 시 사용 증가</x:t>
  </x:si>
  <x:si>
    <x:t xml:space="preserve">난방</x:t>
  </x:si>
  <x:si>
    <x:t xml:space="preserve">히트펌프난방</x:t>
  </x:si>
  <x:si>
    <x:t xml:space="preserve">고효율 인버터 냉난방기/공기열 히트펌프 가정</x:t>
  </x:si>
  <x:si>
    <x:t xml:space="preserve">겨울</x:t>
  </x:si>
  <x:si>
    <x:t xml:space="preserve">아침·저녁, 주말 낮 포함</x:t>
  </x:si>
  <x:si>
    <x:t xml:space="preserve">전기 보조난방 포함 시나리오</x:t>
  </x:si>
  <x:si>
    <x:t xml:space="preserve">전기장판·온수매트</x:t>
  </x:si>
  <x:si>
    <x:t xml:space="preserve">22~07시 취침</x:t>
  </x:si>
  <x:si>
    <x:t xml:space="preserve">2개 사용, 온도조절 평균</x:t>
  </x:si>
  <x:si>
    <x:t xml:space="preserve">전기히터·온풍기</x:t>
  </x:si>
  <x:si>
    <x:t xml:space="preserve">고효율/절전형 사용 가정</x:t>
  </x:si>
  <x:si>
    <x:t xml:space="preserve">아침·저녁 단시간 보조</x:t>
  </x:si>
  <x:si>
    <x:t xml:space="preserve">정격은 크나 부분·단시간 사용 평균</x:t>
  </x:si>
  <x:si>
    <x:t xml:space="preserve">가습</x:t>
  </x:si>
  <x:si>
    <x:t xml:space="preserve">가습기</x:t>
  </x:si>
  <x:si>
    <x:t xml:space="preserve">저전력 초음파/가열복합 평균</x:t>
  </x:si>
  <x:si>
    <x:t xml:space="preserve">21~07시</x:t>
  </x:si>
  <x:si>
    <x:t xml:space="preserve">겨울 건조 시간대</x:t>
  </x:si>
  <x:si>
    <x:t xml:space="preserve">난방보조</x:t>
  </x:si>
  <x:si>
    <x:t xml:space="preserve">보일러순환펌프</x:t>
  </x:si>
  <x:si>
    <x:t xml:space="preserve">가스/지역난방 보조 전력</x:t>
  </x:si>
  <x:si>
    <x:t xml:space="preserve">난방 운전 시간대</x:t>
  </x:si>
  <x:si>
    <x:t xml:space="preserve">전기난방이 아니어도 보조전력 발생</x:t>
  </x:si>
  <x:si>
    <x:t xml:space="preserve">욕실난방기</x:t>
  </x:si>
  <x:si>
    <x:t xml:space="preserve">절전형 욕실 온풍/히터</x:t>
  </x:si>
  <x:si>
    <x:t xml:space="preserve">아침·취침 전 단시간</x:t>
  </x:si>
  <x:si>
    <x:t xml:space="preserve">수분 운전의 1시간 평균</x:t>
  </x:si>
  <x:si>
    <x:t xml:space="preserve">시간</x:t>
  </x:si>
  <x:si>
    <x:t xml:space="preserve">시간대</x:t>
  </x:si>
  <x:si>
    <x:t xml:space="preserve">시간별전력량(kWh)</x:t>
  </x:si>
  <x:si>
    <x:t xml:space="preserve">누적전력량(kWh)</x:t>
  </x:si>
  <x:si>
    <x:t xml:space="preserve">주요 사용 가전(0.02kW 초과)</x:t>
  </x:si>
  <x:si>
    <x:t xml:space="preserve">00:00-01:00</x:t>
  </x:si>
  <x:si>
    <x:t xml:space="preserve">냉장고(0.04), 김치냉장고(0.03)</x:t>
  </x:si>
  <x:si>
    <x:t xml:space="preserve">01:00-02:00</x:t>
  </x:si>
  <x:si>
    <x:t xml:space="preserve">02:00-03:00</x:t>
  </x:si>
  <x:si>
    <x:t xml:space="preserve">03:00-04:00</x:t>
  </x:si>
  <x:si>
    <x:t xml:space="preserve">04:00-05:00</x:t>
  </x:si>
  <x:si>
    <x:t xml:space="preserve">05:00-06:00</x:t>
  </x:si>
  <x:si>
    <x:t xml:space="preserve">06:00-07:00</x:t>
  </x:si>
  <x:si>
    <x:t xml:space="preserve">냉장고(0.04), 김치냉장고(0.03), 정수기(0.04), 공기청정기(0.03), 환기장치·욕실팬(0.03), LED조명(0.06), 전기밥솥_취사(0.25), 인덕션·전기레인지(0.20), 전자레인지(0.04), 전기주전자·커피머신(0.12)</x:t>
  </x:si>
  <x:si>
    <x:t xml:space="preserve">07:00-08:00</x:t>
  </x:si>
  <x:si>
    <x:t xml:space="preserve">냉장고(0.04), 김치냉장고(0.03), 정수기(0.04), 공기청정기(0.03), 환기장치·욕실팬(0.03), LED조명(0.10), TV(0.04), 전기밥솥_보온(0.03), 인덕션·전기레인지(0.35), 전기주전자·커피머신(0.05), 헤어드라이어(0.15)</x:t>
  </x:si>
  <x:si>
    <x:t xml:space="preserve">08:00-09:00</x:t>
  </x:si>
  <x:si>
    <x:t xml:space="preserve">냉장고(0.04), 김치냉장고(0.03), 정수기(0.04), 공기청정기(0.03), 전기밥솥_보온(0.03)</x:t>
  </x:si>
  <x:si>
    <x:t xml:space="preserve">09:00-10:00</x:t>
  </x:si>
  <x:si>
    <x:t xml:space="preserve">10:00-11:00</x:t>
  </x:si>
  <x:si>
    <x:t xml:space="preserve">냉장고(0.04), 김치냉장고(0.03), 정수기(0.04), 공기청정기(0.03), 전기밥솥_보온(0.03), 로봇청소기(0.05)</x:t>
  </x:si>
  <x:si>
    <x:t xml:space="preserve">11:00-12:00</x:t>
  </x:si>
  <x:si>
    <x:t xml:space="preserve">12:00-13:00</x:t>
  </x:si>
  <x:si>
    <x:t xml:space="preserve">13:00-14:00</x:t>
  </x:si>
  <x:si>
    <x:t xml:space="preserve">14:00-15:00</x:t>
  </x:si>
  <x:si>
    <x:t xml:space="preserve">15:00-16:00</x:t>
  </x:si>
  <x:si>
    <x:t xml:space="preserve">16:00-17:00</x:t>
  </x:si>
  <x:si>
    <x:t xml:space="preserve">냉장고(0.04), 김치냉장고(0.03), 정수기(0.04), 공기청정기(0.03), TV(0.05), 데스크톱·모니터(0.08), 노트북·태블릿·휴대폰충전(0.06), 전기밥솥_보온(0.03)</x:t>
  </x:si>
  <x:si>
    <x:t xml:space="preserve">17:00-18:00</x:t>
  </x:si>
  <x:si>
    <x:t xml:space="preserve">냉장고(0.04), 김치냉장고(0.03), 정수기(0.04), 공기청정기(0.03), TV(0.04), 데스크톱·모니터(0.15), 노트북·태블릿·휴대폰충전(0.06), 전기밥솥_보온(0.03)</x:t>
  </x:si>
  <x:si>
    <x:t xml:space="preserve">18:00-19:00</x:t>
  </x:si>
  <x:si>
    <x:t xml:space="preserve">냉장고(0.04), 김치냉장고(0.03), 정수기(0.04), 공기청정기(0.03), 환기장치·욕실팬(0.04), LED조명(0.12), TV(0.06), 데스크톱·모니터(0.15), 노트북·태블릿·휴대폰충전(0.08), 전기밥솥_취사(0.35), 전기밥솥_보온(0.03), 인덕션·전기레인지(0.80), 전자레인지(0.08), 전기주전자·커피머신(0.03)</x:t>
  </x:si>
  <x:si>
    <x:t xml:space="preserve">19:00-20:00</x:t>
  </x:si>
  <x:si>
    <x:t xml:space="preserve">냉장고(0.04), 김치냉장고(0.03), 정수기(0.04), 공기청정기(0.03), 환기장치·욕실팬(0.04), LED조명(0.18), TV(0.08), 셋톱박스·사운드바(0.05), 데스크톱·모니터(0.18), 노트북·태블릿·휴대폰충전(0.08), 전기밥솥_보온(0.03), 인덕션·전기레인지(0.70), 전자레인지(0.05), 오븐·에어프라이어(0.25)</x:t>
  </x:si>
  <x:si>
    <x:t xml:space="preserve">20:00-21:00</x:t>
  </x:si>
  <x:si>
    <x:t xml:space="preserve">냉장고(0.04), 김치냉장고(0.03), 정수기(0.04), 공기청정기(0.03), LED조명(0.18), TV(0.08), 셋톱박스·사운드바(0.05), 데스크톱·모니터(0.18), 노트북·태블릿·휴대폰충전(0.08), 게임콘솔(0.06), 전기밥솥_보온(0.03), 전기주전자·커피머신(0.05), 의류관리기(0.15)</x:t>
  </x:si>
  <x:si>
    <x:t xml:space="preserve">21:00-22:00</x:t>
  </x:si>
  <x:si>
    <x:t xml:space="preserve">냉장고(0.04), 김치냉장고(0.03), 정수기(0.04), 공기청정기(0.03), LED조명(0.18), TV(0.08), 셋톱박스·사운드바(0.05), 데스크톱·모니터(0.18), 노트북·태블릿·휴대폰충전(0.08), 게임콘솔(0.06), 전기밥솥_보온(0.03), 식기세척기(0.60), 세탁기(0.12), 무선청소기·충전(0.05)</x:t>
  </x:si>
  <x:si>
    <x:t xml:space="preserve">22:00-23:00</x:t>
  </x:si>
  <x:si>
    <x:t xml:space="preserve">냉장고(0.04), 김치냉장고(0.03), 정수기(0.04), 공기청정기(0.03), 환기장치·욕실팬(0.03), LED조명(0.12), TV(0.06), 셋톱박스·사운드바(0.04), 데스크톱·모니터(0.12), 노트북·태블릿·휴대폰충전(0.08), 전기밥솥_보온(0.03), 식기세척기(0.30), 의류건조기(0.25), 헤어드라이어(0.06)</x:t>
  </x:si>
  <x:si>
    <x:t xml:space="preserve">23:00-00:00</x:t>
  </x:si>
  <x:si>
    <x:t xml:space="preserve">냉장고(0.04), 김치냉장고(0.03), 정수기(0.04), 공기청정기(0.03), LED조명(0.05), 노트북·태블릿·휴대폰충전(0.06), 의류건조기(0.20)</x:t>
  </x:si>
  <x:si>
    <x:t xml:space="preserve">누적 전력량</x:t>
  </x:si>
  <x:si>
    <x:t xml:space="preserve">냉장고(0.04), 김치냉장고(0.03), 정수기(0.04), 공기청정기(0.03)</x:t>
  </x:si>
  <x:si>
    <x:t xml:space="preserve">냉장고(0.04), 김치냉장고(0.03), 정수기(0.04), 공기청정기(0.03), 환기장치·욕실팬(0.03), LED조명(0.08), 인덕션·전기레인지(0.25), 전자레인지(0.04), 전기주전자·커피머신(0.10)</x:t>
  </x:si>
  <x:si>
    <x:t xml:space="preserve">냉장고(0.04), 김치냉장고(0.03), 정수기(0.04), 공기청정기(0.03), 환기장치·욕실팬(0.03), LED조명(0.10), TV(0.05), 노트북·태블릿·휴대폰충전(0.08), 전기밥솥_취사(0.40), 전기밥솥_보온(0.03), 인덕션·전기레인지(0.60), 전기주전자·커피머신(0.12), 헤어드라이어(0.12)</x:t>
  </x:si>
  <x:si>
    <x:t xml:space="preserve">냉장고(0.04), 김치냉장고(0.03), 정수기(0.04), 공기청정기(0.03), TV(0.08), 셋톱박스·사운드바(0.05), 데스크톱·모니터(0.18), 노트북·태블릿·휴대폰충전(0.08), 전기밥솥_보온(0.03), 세탁기(0.25), 무선청소기·충전(0.10)</x:t>
  </x:si>
  <x:si>
    <x:t xml:space="preserve">냉장고(0.04), 김치냉장고(0.03), 정수기(0.04), 공기청정기(0.03), TV(0.08), 셋톱박스·사운드바(0.05), 데스크톱·모니터(0.18), 노트북·태블릿·휴대폰충전(0.08), 전기밥솥_보온(0.03), 의류건조기(0.70), 로봇청소기(0.05)</x:t>
  </x:si>
  <x:si>
    <x:t xml:space="preserve">냉장고(0.04), 김치냉장고(0.03), 정수기(0.04), 공기청정기(0.03), 환기장치·욕실팬(0.03), TV(0.08), 데스크톱·모니터(0.18), 노트북·태블릿·휴대폰충전(0.08), 전기밥솥_보온(0.03), 인덕션·전기레인지(0.70), 전자레인지(0.08), 의류건조기(0.60)</x:t>
  </x:si>
  <x:si>
    <x:t xml:space="preserve">냉장고(0.04), 김치냉장고(0.03), 정수기(0.04), 공기청정기(0.03), 환기장치·욕실팬(0.03), TV(0.06), 데스크톱·모니터(0.20), 노트북·태블릿·휴대폰충전(0.08), 전기밥솥_보온(0.03), 인덕션·전기레인지(0.30), 오븐·에어프라이어(0.40), 식기세척기(0.40)</x:t>
  </x:si>
  <x:si>
    <x:t xml:space="preserve">냉장고(0.04), 김치냉장고(0.03), 정수기(0.04), 공기청정기(0.03), TV(0.06), 데스크톱·모니터(0.20), 노트북·태블릿·휴대폰충전(0.08), 전기밥솥_보온(0.03)</x:t>
  </x:si>
  <x:si>
    <x:t xml:space="preserve">냉장고(0.04), 김치냉장고(0.03), 정수기(0.04), 공기청정기(0.03), TV(0.06), 데스크톱·모니터(0.20), 노트북·태블릿·휴대폰충전(0.08), 게임콘솔(0.10), 전기밥솥_보온(0.03), 전기주전자·커피머신(0.05), 세탁기(0.20)</x:t>
  </x:si>
  <x:si>
    <x:t xml:space="preserve">냉장고(0.04), 김치냉장고(0.03), 정수기(0.04), 공기청정기(0.03), TV(0.06), 데스크톱·모니터(0.20), 노트북·태블릿·휴대폰충전(0.08), 게임콘솔(0.10), 전기밥솥_보온(0.03), 의류건조기(0.70)</x:t>
  </x:si>
  <x:si>
    <x:t xml:space="preserve">냉장고(0.04), 김치냉장고(0.03), 정수기(0.04), 공기청정기(0.03), TV(0.06), 데스크톱·모니터(0.20), 노트북·태블릿·휴대폰충전(0.08), 게임콘솔(0.10), 전기밥솥_보온(0.03), 의류건조기(0.60), 다리미·스팀다리미(0.20)</x:t>
  </x:si>
  <x:si>
    <x:t xml:space="preserve">냉장고(0.04), 김치냉장고(0.03), 정수기(0.04), 공기청정기(0.03), 환기장치·욕실팬(0.04), LED조명(0.14), TV(0.10), 셋톱박스·사운드바(0.05), 데스크톱·모니터(0.18), 노트북·태블릿·휴대폰충전(0.08), 게임콘솔(0.08), 전기밥솥_취사(0.40), 전기밥솥_보온(0.03), 인덕션·전기레인지(1.00), 전자레인지(0.08), 오븐·에어프라이어(0.50), 전기주전자·커피머신(0.05)</x:t>
  </x:si>
  <x:si>
    <x:t xml:space="preserve">냉장고(0.04), 김치냉장고(0.03), 정수기(0.04), 공기청정기(0.03), 환기장치·욕실팬(0.04), LED조명(0.20), TV(0.10), 셋톱박스·사운드바(0.05), 데스크톱·모니터(0.18), 노트북·태블릿·휴대폰충전(0.08), 게임콘솔(0.08), 전기밥솥_보온(0.03), 인덕션·전기레인지(0.80), 전자레인지(0.05), 오븐·에어프라이어(0.40)</x:t>
  </x:si>
  <x:si>
    <x:t xml:space="preserve">냉장고(0.04), 김치냉장고(0.03), 정수기(0.04), 공기청정기(0.03), LED조명(0.20), TV(0.10), 셋톱박스·사운드바(0.05), 데스크톱·모니터(0.18), 노트북·태블릿·휴대폰충전(0.08), 게임콘솔(0.08), 전기밥솥_보온(0.03), 전기주전자·커피머신(0.05), 식기세척기(0.70), 음식물처리기(0.03)</x:t>
  </x:si>
  <x:si>
    <x:t xml:space="preserve">냉장고(0.04), 김치냉장고(0.03), 정수기(0.04), 공기청정기(0.03), LED조명(0.20), TV(0.10), 셋톱박스·사운드바(0.05), 데스크톱·모니터(0.18), 노트북·태블릿·휴대폰충전(0.08), 게임콘솔(0.08), 전기밥솥_보온(0.03), 식기세척기(0.40), 의류관리기(0.50)</x:t>
  </x:si>
  <x:si>
    <x:t xml:space="preserve">냉장고(0.04), 김치냉장고(0.03), 정수기(0.04), 공기청정기(0.03), 환기장치·욕실팬(0.03), LED조명(0.12), TV(0.08), 셋톱박스·사운드바(0.04), 데스크톱·모니터(0.18), 노트북·태블릿·휴대폰충전(0.08), 게임콘솔(0.08), 전기밥솥_보온(0.03), 헤어드라이어(0.08)</x:t>
  </x:si>
  <x:si>
    <x:t xml:space="preserve">냉장고(0.04), 김치냉장고(0.03), 정수기(0.04), 공기청정기(0.03), LED조명(0.06), 노트북·태블릿·휴대폰충전(0.06)</x:t>
  </x:si>
  <x:si>
    <x:t xml:space="preserve">냉장고(0.04), 김치냉장고(0.03), 에어컨_거실(0.30), 에어컨_침실(0.35), 선풍기·서큘레이터(0.06)</x:t>
  </x:si>
  <x:si>
    <x:t xml:space="preserve">냉장고(0.04), 김치냉장고(0.03), 에어컨_침실(0.35), 선풍기·서큘레이터(0.06)</x:t>
  </x:si>
  <x:si>
    <x:t xml:space="preserve">냉장고(0.04), 김치냉장고(0.03), 정수기(0.04), 환기장치·욕실팬(0.03), LED조명(0.06), 전기밥솥_취사(0.25), 인덕션·전기레인지(0.20), 전자레인지(0.04), 전기주전자·커피머신(0.12), 에어컨_침실(0.15)</x:t>
  </x:si>
  <x:si>
    <x:t xml:space="preserve">냉장고(0.04), 김치냉장고(0.03), 정수기(0.04), 환기장치·욕실팬(0.03), LED조명(0.10), TV(0.04), 전기밥솥_보온(0.03), 인덕션·전기레인지(0.35), 전기주전자·커피머신(0.05), 헤어드라이어(0.15)</x:t>
  </x:si>
  <x:si>
    <x:t xml:space="preserve">냉장고(0.04), 김치냉장고(0.03), 정수기(0.04), 전기밥솥_보온(0.03)</x:t>
  </x:si>
  <x:si>
    <x:t xml:space="preserve">냉장고(0.04), 김치냉장고(0.03), 정수기(0.04), 전기밥솥_보온(0.03), 로봇청소기(0.05), 제습기(0.12)</x:t>
  </x:si>
  <x:si>
    <x:t xml:space="preserve">냉장고(0.04), 김치냉장고(0.03), 정수기(0.04), 전기밥솥_보온(0.03), 제습기(0.12)</x:t>
  </x:si>
  <x:si>
    <x:t xml:space="preserve">냉장고(0.04), 김치냉장고(0.03), 정수기(0.04), TV(0.05), 데스크톱·모니터(0.08), 노트북·태블릿·휴대폰충전(0.06), 전기밥솥_보온(0.03)</x:t>
  </x:si>
  <x:si>
    <x:t xml:space="preserve">냉장고(0.04), 김치냉장고(0.03), 정수기(0.04), TV(0.04), 데스크톱·모니터(0.15), 노트북·태블릿·휴대폰충전(0.06), 전기밥솥_보온(0.03)</x:t>
  </x:si>
  <x:si>
    <x:t xml:space="preserve">냉장고(0.04), 김치냉장고(0.03), 정수기(0.04), 환기장치·욕실팬(0.04), LED조명(0.12), TV(0.06), 데스크톱·모니터(0.15), 노트북·태블릿·휴대폰충전(0.08), 전기밥솥_취사(0.35), 전기밥솥_보온(0.03), 인덕션·전기레인지(0.80), 전자레인지(0.08), 전기주전자·커피머신(0.03), 에어컨_거실(0.60), 선풍기·서큘레이터(0.06)</x:t>
  </x:si>
  <x:si>
    <x:t xml:space="preserve">냉장고(0.04), 김치냉장고(0.03), 정수기(0.04), 환기장치·욕실팬(0.04), LED조명(0.18), TV(0.08), 셋톱박스·사운드바(0.05), 데스크톱·모니터(0.18), 노트북·태블릿·휴대폰충전(0.08), 전기밥솥_보온(0.03), 인덕션·전기레인지(0.70), 전자레인지(0.05), 오븐·에어프라이어(0.25), 에어컨_거실(0.90), 선풍기·서큘레이터(0.06)</x:t>
  </x:si>
  <x:si>
    <x:t xml:space="preserve">냉장고(0.04), 김치냉장고(0.03), 정수기(0.04), LED조명(0.18), TV(0.08), 셋톱박스·사운드바(0.05), 데스크톱·모니터(0.18), 노트북·태블릿·휴대폰충전(0.08), 게임콘솔(0.06), 전기밥솥_보온(0.03), 전기주전자·커피머신(0.05), 의류관리기(0.15), 에어컨_거실(0.90), 선풍기·서큘레이터(0.06)</x:t>
  </x:si>
  <x:si>
    <x:t xml:space="preserve">냉장고(0.04), 김치냉장고(0.03), 정수기(0.04), LED조명(0.18), TV(0.08), 셋톱박스·사운드바(0.05), 데스크톱·모니터(0.18), 노트북·태블릿·휴대폰충전(0.08), 게임콘솔(0.06), 전기밥솥_보온(0.03), 식기세척기(0.60), 세탁기(0.12), 무선청소기·충전(0.05), 에어컨_거실(0.90), 선풍기·서큘레이터(0.06)</x:t>
  </x:si>
  <x:si>
    <x:t xml:space="preserve">냉장고(0.04), 김치냉장고(0.03), 정수기(0.04), 환기장치·욕실팬(0.03), LED조명(0.12), TV(0.06), 셋톱박스·사운드바(0.04), 데스크톱·모니터(0.12), 노트북·태블릿·휴대폰충전(0.08), 전기밥솥_보온(0.03), 식기세척기(0.30), 의류건조기(0.25), 헤어드라이어(0.06), 에어컨_거실(0.90), 에어컨_침실(0.35), 선풍기·서큘레이터(0.06)</x:t>
  </x:si>
  <x:si>
    <x:t xml:space="preserve">냉장고(0.04), 김치냉장고(0.03), 정수기(0.04), LED조명(0.05), 노트북·태블릿·휴대폰충전(0.06), 의류건조기(0.20), 에어컨_거실(0.65), 에어컨_침실(0.35), 선풍기·서큘레이터(0.06)</x:t>
  </x:si>
  <x:si>
    <x:t xml:space="preserve">냉장고(0.04), 김치냉장고(0.03), 정수기(0.04), 에어컨_침실(0.35), 선풍기·서큘레이터(0.06)</x:t>
  </x:si>
  <x:si>
    <x:t xml:space="preserve">냉장고(0.04), 김치냉장고(0.03), 정수기(0.04)</x:t>
  </x:si>
  <x:si>
    <x:t xml:space="preserve">냉장고(0.04), 김치냉장고(0.03), 정수기(0.04), 환기장치·욕실팬(0.03), LED조명(0.08), 인덕션·전기레인지(0.25), 전자레인지(0.04), 전기주전자·커피머신(0.10)</x:t>
  </x:si>
  <x:si>
    <x:t xml:space="preserve">냉장고(0.04), 김치냉장고(0.03), 정수기(0.04), 환기장치·욕실팬(0.03), LED조명(0.10), TV(0.05), 노트북·태블릿·휴대폰충전(0.08), 전기밥솥_취사(0.40), 전기밥솥_보온(0.03), 인덕션·전기레인지(0.60), 전기주전자·커피머신(0.12), 헤어드라이어(0.12)</x:t>
  </x:si>
  <x:si>
    <x:t xml:space="preserve">냉장고(0.04), 김치냉장고(0.03), 정수기(0.04), TV(0.08), 셋톱박스·사운드바(0.05), 데스크톱·모니터(0.18), 노트북·태블릿·휴대폰충전(0.08), 전기밥솥_보온(0.03), 세탁기(0.25), 무선청소기·충전(0.10), 선풍기·서큘레이터(0.06)</x:t>
  </x:si>
  <x:si>
    <x:t xml:space="preserve">냉장고(0.04), 김치냉장고(0.03), 정수기(0.04), TV(0.08), 셋톱박스·사운드바(0.05), 데스크톱·모니터(0.18), 노트북·태블릿·휴대폰충전(0.08), 전기밥솥_보온(0.03), 의류건조기(0.70), 로봇청소기(0.05), 에어컨_거실(0.45), 선풍기·서큘레이터(0.06), 제습기(0.20)</x:t>
  </x:si>
  <x:si>
    <x:t xml:space="preserve">냉장고(0.04), 김치냉장고(0.03), 정수기(0.04), 환기장치·욕실팬(0.03), TV(0.08), 데스크톱·모니터(0.18), 노트북·태블릿·휴대폰충전(0.08), 전기밥솥_보온(0.03), 인덕션·전기레인지(0.70), 전자레인지(0.08), 의류건조기(0.60), 에어컨_거실(0.80), 선풍기·서큘레이터(0.06), 제습기(0.20)</x:t>
  </x:si>
  <x:si>
    <x:t xml:space="preserve">냉장고(0.04), 김치냉장고(0.03), 정수기(0.04), 환기장치·욕실팬(0.03), TV(0.06), 데스크톱·모니터(0.20), 노트북·태블릿·휴대폰충전(0.08), 전기밥솥_보온(0.03), 인덕션·전기레인지(0.30), 오븐·에어프라이어(0.40), 식기세척기(0.40), 에어컨_거실(0.80), 선풍기·서큘레이터(0.06), 제습기(0.20)</x:t>
  </x:si>
  <x:si>
    <x:t xml:space="preserve">냉장고(0.04), 김치냉장고(0.03), 정수기(0.04), TV(0.06), 데스크톱·모니터(0.20), 노트북·태블릿·휴대폰충전(0.08), 전기밥솥_보온(0.03), 에어컨_거실(0.80), 선풍기·서큘레이터(0.06), 제습기(0.20)</x:t>
  </x:si>
  <x:si>
    <x:t xml:space="preserve">냉장고(0.04), 김치냉장고(0.03), 정수기(0.04), TV(0.06), 데스크톱·모니터(0.20), 노트북·태블릿·휴대폰충전(0.08), 게임콘솔(0.10), 전기밥솥_보온(0.03), 전기주전자·커피머신(0.05), 세탁기(0.20), 에어컨_거실(0.80), 선풍기·서큘레이터(0.06)</x:t>
  </x:si>
  <x:si>
    <x:t xml:space="preserve">냉장고(0.04), 김치냉장고(0.03), 정수기(0.04), TV(0.06), 데스크톱·모니터(0.20), 노트북·태블릿·휴대폰충전(0.08), 게임콘솔(0.10), 전기밥솥_보온(0.03), 의류건조기(0.70), 에어컨_거실(0.80), 선풍기·서큘레이터(0.06)</x:t>
  </x:si>
  <x:si>
    <x:t xml:space="preserve">냉장고(0.04), 김치냉장고(0.03), 정수기(0.04), TV(0.06), 데스크톱·모니터(0.20), 노트북·태블릿·휴대폰충전(0.08), 게임콘솔(0.10), 전기밥솥_보온(0.03), 의류건조기(0.60), 다리미·스팀다리미(0.20), 에어컨_거실(0.80), 선풍기·서큘레이터(0.06)</x:t>
  </x:si>
  <x:si>
    <x:t xml:space="preserve">냉장고(0.04), 김치냉장고(0.03), 정수기(0.04), 환기장치·욕실팬(0.04), LED조명(0.14), TV(0.10), 셋톱박스·사운드바(0.05), 데스크톱·모니터(0.18), 노트북·태블릿·휴대폰충전(0.08), 게임콘솔(0.08), 전기밥솥_취사(0.40), 전기밥솥_보온(0.03), 인덕션·전기레인지(1.00), 전자레인지(0.08), 오븐·에어프라이어(0.50), 전기주전자·커피머신(0.05), 에어컨_거실(0.90), 선풍기·서큘레이터(0.06), 제습기(0.12)</x:t>
  </x:si>
  <x:si>
    <x:t xml:space="preserve">냉장고(0.04), 김치냉장고(0.03), 정수기(0.04), 환기장치·욕실팬(0.04), LED조명(0.20), TV(0.10), 셋톱박스·사운드바(0.05), 데스크톱·모니터(0.18), 노트북·태블릿·휴대폰충전(0.08), 게임콘솔(0.08), 전기밥솥_보온(0.03), 인덕션·전기레인지(0.80), 전자레인지(0.05), 오븐·에어프라이어(0.40), 에어컨_거실(0.90), 선풍기·서큘레이터(0.06)</x:t>
  </x:si>
  <x:si>
    <x:t xml:space="preserve">냉장고(0.04), 김치냉장고(0.03), 정수기(0.04), LED조명(0.20), TV(0.10), 셋톱박스·사운드바(0.05), 데스크톱·모니터(0.18), 노트북·태블릿·휴대폰충전(0.08), 게임콘솔(0.08), 전기밥솥_보온(0.03), 전기주전자·커피머신(0.05), 식기세척기(0.70), 음식물처리기(0.03), 에어컨_거실(0.90), 선풍기·서큘레이터(0.06)</x:t>
  </x:si>
  <x:si>
    <x:t xml:space="preserve">냉장고(0.04), 김치냉장고(0.03), 정수기(0.04), LED조명(0.20), TV(0.10), 셋톱박스·사운드바(0.05), 데스크톱·모니터(0.18), 노트북·태블릿·휴대폰충전(0.08), 게임콘솔(0.08), 전기밥솥_보온(0.03), 식기세척기(0.40), 의류관리기(0.50), 에어컨_거실(0.90), 선풍기·서큘레이터(0.06)</x:t>
  </x:si>
  <x:si>
    <x:t xml:space="preserve">냉장고(0.04), 김치냉장고(0.03), 정수기(0.04), 환기장치·욕실팬(0.03), LED조명(0.12), TV(0.08), 셋톱박스·사운드바(0.04), 데스크톱·모니터(0.18), 노트북·태블릿·휴대폰충전(0.08), 게임콘솔(0.08), 전기밥솥_보온(0.03), 헤어드라이어(0.08), 에어컨_거실(0.90), 에어컨_침실(0.35), 선풍기·서큘레이터(0.06)</x:t>
  </x:si>
  <x:si>
    <x:t xml:space="preserve">냉장고(0.04), 김치냉장고(0.03), 정수기(0.04), LED조명(0.06), 노트북·태블릿·휴대폰충전(0.06), 에어컨_거실(0.65), 에어컨_침실(0.35), 선풍기·서큘레이터(0.06)</x:t>
  </x:si>
  <x:si>
    <x:t xml:space="preserve">냉장고(0.04), 김치냉장고(0.02), 비데(0.03), 히트펌프난방(0.25), 전기장판·온수매트(0.16), 가습기(0.06), 보일러순환펌프(0.04)</x:t>
  </x:si>
  <x:si>
    <x:t xml:space="preserve">냉장고(0.04), 김치냉장고(0.02), 비데(0.03), 전기장판·온수매트(0.16), 가습기(0.06)</x:t>
  </x:si>
  <x:si>
    <x:t xml:space="preserve">냉장고(0.04), 김치냉장고(0.02), 비데(0.03), 전기장판·온수매트(0.16), 가습기(0.06), 보일러순환펌프(0.05)</x:t>
  </x:si>
  <x:si>
    <x:t xml:space="preserve">냉장고(0.04), 김치냉장고(0.02), 정수기(0.04), 비데(0.03), 공기청정기(0.03), 환기장치·욕실팬(0.03), LED조명(0.12), 전기밥솥_취사(0.25), 인덕션·전기레인지(0.20), 전자레인지(0.04), 전기주전자·커피머신(0.12), 히트펌프난방(0.70), 전기장판·온수매트(0.16), 가습기(0.06), 보일러순환펌프(0.05), 욕실난방기(0.15)</x:t>
  </x:si>
  <x:si>
    <x:t xml:space="preserve">냉장고(0.04), 김치냉장고(0.02), 정수기(0.04), 비데(0.03), 공기청정기(0.03), 환기장치·욕실팬(0.03), LED조명(0.16), TV(0.04), 전기밥솥_보온(0.03), 인덕션·전기레인지(0.35), 전기주전자·커피머신(0.05), 헤어드라이어(0.15), 히트펌프난방(0.70), 전기장판·온수매트(0.08), 전기히터·온풍기(0.15), 가습기(0.06), 보일러순환펌프(0.05), 욕실난방기(0.15)</x:t>
  </x:si>
  <x:si>
    <x:t xml:space="preserve">냉장고(0.04), 김치냉장고(0.02), 정수기(0.04), 비데(0.03), 공기청정기(0.03), 전기밥솥_보온(0.03), 히트펌프난방(0.30), 보일러순환펌프(0.05)</x:t>
  </x:si>
  <x:si>
    <x:t xml:space="preserve">냉장고(0.04), 김치냉장고(0.02), 정수기(0.04), 비데(0.03), 공기청정기(0.03), 전기밥솥_보온(0.03)</x:t>
  </x:si>
  <x:si>
    <x:t xml:space="preserve">냉장고(0.04), 김치냉장고(0.02), 정수기(0.04), 비데(0.03), 공기청정기(0.03), 전기밥솥_보온(0.03), 로봇청소기(0.05)</x:t>
  </x:si>
  <x:si>
    <x:t xml:space="preserve">냉장고(0.04), 김치냉장고(0.02), 정수기(0.04), 비데(0.03), 공기청정기(0.03), TV(0.05), 데스크톱·모니터(0.08), 노트북·태블릿·휴대폰충전(0.06), 전기밥솥_보온(0.03)</x:t>
  </x:si>
  <x:si>
    <x:t xml:space="preserve">냉장고(0.04), 김치냉장고(0.02), 정수기(0.04), 비데(0.03), 공기청정기(0.03), LED조명(0.12), TV(0.04), 데스크톱·모니터(0.15), 노트북·태블릿·휴대폰충전(0.06), 전기밥솥_보온(0.03), 히트펌프난방(0.30), 보일러순환펌프(0.05)</x:t>
  </x:si>
  <x:si>
    <x:t xml:space="preserve">냉장고(0.04), 김치냉장고(0.02), 정수기(0.04), 비데(0.03), 공기청정기(0.03), 환기장치·욕실팬(0.04), LED조명(0.20), TV(0.06), 데스크톱·모니터(0.15), 노트북·태블릿·휴대폰충전(0.08), 전기밥솥_취사(0.35), 전기밥솥_보온(0.03), 인덕션·전기레인지(0.80), 전자레인지(0.08), 전기주전자·커피머신(0.03), 히트펌프난방(0.80), 보일러순환펌프(0.05)</x:t>
  </x:si>
  <x:si>
    <x:t xml:space="preserve">냉장고(0.04), 김치냉장고(0.02), 정수기(0.04), 비데(0.03), 공기청정기(0.03), 환기장치·욕실팬(0.04), LED조명(0.22), TV(0.08), 셋톱박스·사운드바(0.05), 데스크톱·모니터(0.18), 노트북·태블릿·휴대폰충전(0.08), 전기밥솥_보온(0.03), 인덕션·전기레인지(0.70), 전자레인지(0.05), 오븐·에어프라이어(0.25), 히트펌프난방(0.80), 보일러순환펌프(0.05)</x:t>
  </x:si>
  <x:si>
    <x:t xml:space="preserve">냉장고(0.04), 김치냉장고(0.02), 정수기(0.04), 비데(0.03), 공기청정기(0.03), LED조명(0.22), TV(0.08), 셋톱박스·사운드바(0.05), 데스크톱·모니터(0.18), 노트북·태블릿·휴대폰충전(0.08), 게임콘솔(0.06), 전기밥솥_보온(0.03), 전기주전자·커피머신(0.05), 의류관리기(0.15), 히트펌프난방(0.80), 전기히터·온풍기(0.25), 보일러순환펌프(0.05)</x:t>
  </x:si>
  <x:si>
    <x:t xml:space="preserve">냉장고(0.04), 김치냉장고(0.02), 정수기(0.04), 비데(0.03), 공기청정기(0.03), LED조명(0.22), TV(0.08), 셋톱박스·사운드바(0.05), 데스크톱·모니터(0.18), 노트북·태블릿·휴대폰충전(0.08), 게임콘솔(0.06), 전기밥솥_보온(0.03), 식기세척기(0.60), 세탁기(0.12), 무선청소기·충전(0.05), 히트펌프난방(0.80), 전기히터·온풍기(0.25), 가습기(0.06), 보일러순환펌프(0.05)</x:t>
  </x:si>
  <x:si>
    <x:t xml:space="preserve">냉장고(0.04), 김치냉장고(0.02), 정수기(0.04), 비데(0.03), 공기청정기(0.03), 환기장치·욕실팬(0.03), LED조명(0.16), TV(0.06), 셋톱박스·사운드바(0.04), 데스크톱·모니터(0.12), 노트북·태블릿·휴대폰충전(0.08), 전기밥솥_보온(0.03), 식기세척기(0.30), 의류건조기(0.25), 헤어드라이어(0.06), 히트펌프난방(0.80), 전기장판·온수매트(0.16), 전기히터·온풍기(0.25), 가습기(0.06), 보일러순환펌프(0.05), 욕실난방기(0.12)</x:t>
  </x:si>
  <x:si>
    <x:t xml:space="preserve">냉장고(0.04), 김치냉장고(0.02), 정수기(0.04), 비데(0.03), 공기청정기(0.03), LED조명(0.08), 노트북·태블릿·휴대폰충전(0.06), 의류건조기(0.20), 히트펌프난방(0.50), 전기장판·온수매트(0.16), 가습기(0.06), 보일러순환펌프(0.05)</x:t>
  </x:si>
  <x:si>
    <x:t xml:space="preserve">냉장고(0.04), 김치냉장고(0.02), 정수기(0.04), 비데(0.03), 공기청정기(0.03), 전기장판·온수매트(0.16), 가습기(0.06)</x:t>
  </x:si>
  <x:si>
    <x:t xml:space="preserve">냉장고(0.04), 김치냉장고(0.02), 정수기(0.04), 비데(0.03), 공기청정기(0.03), 히트펌프난방(0.70), 전기장판·온수매트(0.08), 가습기(0.06), 보일러순환펌프(0.05)</x:t>
  </x:si>
  <x:si>
    <x:t xml:space="preserve">냉장고(0.04), 김치냉장고(0.02), 정수기(0.04), 비데(0.03), 공기청정기(0.03), 환기장치·욕실팬(0.03), LED조명(0.12), 인덕션·전기레인지(0.25), 전자레인지(0.04), 전기주전자·커피머신(0.10), 히트펌프난방(0.70), 보일러순환펌프(0.05), 욕실난방기(0.12)</x:t>
  </x:si>
  <x:si>
    <x:t xml:space="preserve">냉장고(0.04), 김치냉장고(0.02), 정수기(0.04), 비데(0.03), 공기청정기(0.03), 환기장치·욕실팬(0.03), LED조명(0.16), TV(0.05), 노트북·태블릿·휴대폰충전(0.08), 전기밥솥_취사(0.40), 전기밥솥_보온(0.03), 인덕션·전기레인지(0.60), 전기주전자·커피머신(0.12), 헤어드라이어(0.12), 히트펌프난방(0.70), 전기히터·온풍기(0.15), 보일러순환펌프(0.05), 욕실난방기(0.12)</x:t>
  </x:si>
  <x:si>
    <x:t xml:space="preserve">냉장고(0.04), 김치냉장고(0.02), 정수기(0.04), 비데(0.03), 공기청정기(0.03), TV(0.08), 셋톱박스·사운드바(0.05), 데스크톱·모니터(0.18), 노트북·태블릿·휴대폰충전(0.08), 전기밥솥_보온(0.03), 세탁기(0.25), 무선청소기·충전(0.10), 히트펌프난방(0.45), 보일러순환펌프(0.05)</x:t>
  </x:si>
  <x:si>
    <x:t xml:space="preserve">냉장고(0.04), 김치냉장고(0.02), 정수기(0.04), 비데(0.03), 공기청정기(0.03), TV(0.08), 셋톱박스·사운드바(0.05), 데스크톱·모니터(0.18), 노트북·태블릿·휴대폰충전(0.08), 전기밥솥_보온(0.03), 의류건조기(0.70), 로봇청소기(0.05), 히트펌프난방(0.45), 보일러순환펌프(0.05)</x:t>
  </x:si>
  <x:si>
    <x:t xml:space="preserve">냉장고(0.04), 김치냉장고(0.02), 정수기(0.04), 비데(0.03), 공기청정기(0.03), 환기장치·욕실팬(0.03), TV(0.08), 데스크톱·모니터(0.18), 노트북·태블릿·휴대폰충전(0.08), 전기밥솥_보온(0.03), 인덕션·전기레인지(0.70), 전자레인지(0.08), 의류건조기(0.60), 히트펌프난방(0.45), 보일러순환펌프(0.05)</x:t>
  </x:si>
  <x:si>
    <x:t xml:space="preserve">냉장고(0.04), 김치냉장고(0.02), 정수기(0.04), 비데(0.03), 공기청정기(0.03), 환기장치·욕실팬(0.03), TV(0.06), 데스크톱·모니터(0.20), 노트북·태블릿·휴대폰충전(0.08), 전기밥솥_보온(0.03), 인덕션·전기레인지(0.30), 오븐·에어프라이어(0.40), 식기세척기(0.40), 히트펌프난방(0.45), 보일러순환펌프(0.05)</x:t>
  </x:si>
  <x:si>
    <x:t xml:space="preserve">냉장고(0.04), 김치냉장고(0.02), 정수기(0.04), 비데(0.03), 공기청정기(0.03), TV(0.06), 데스크톱·모니터(0.20), 노트북·태블릿·휴대폰충전(0.08), 전기밥솥_보온(0.03), 히트펌프난방(0.45), 보일러순환펌프(0.05)</x:t>
  </x:si>
  <x:si>
    <x:t xml:space="preserve">냉장고(0.04), 김치냉장고(0.02), 정수기(0.04), 비데(0.03), 공기청정기(0.03), TV(0.06), 데스크톱·모니터(0.20), 노트북·태블릿·휴대폰충전(0.08), 게임콘솔(0.10), 전기밥솥_보온(0.03), 전기주전자·커피머신(0.05), 세탁기(0.20), 히트펌프난방(0.45), 보일러순환펌프(0.05)</x:t>
  </x:si>
  <x:si>
    <x:t xml:space="preserve">냉장고(0.04), 김치냉장고(0.02), 정수기(0.04), 비데(0.03), 공기청정기(0.03), LED조명(0.10), TV(0.06), 데스크톱·모니터(0.20), 노트북·태블릿·휴대폰충전(0.08), 게임콘솔(0.10), 전기밥솥_보온(0.03), 의류건조기(0.70), 히트펌프난방(0.45), 보일러순환펌프(0.05)</x:t>
  </x:si>
  <x:si>
    <x:t xml:space="preserve">냉장고(0.04), 김치냉장고(0.02), 정수기(0.04), 비데(0.03), 공기청정기(0.03), LED조명(0.14), TV(0.06), 데스크톱·모니터(0.20), 노트북·태블릿·휴대폰충전(0.08), 게임콘솔(0.10), 전기밥솥_보온(0.03), 의류건조기(0.60), 다리미·스팀다리미(0.20), 히트펌프난방(0.80), 보일러순환펌프(0.05)</x:t>
  </x:si>
  <x:si>
    <x:t xml:space="preserve">냉장고(0.04), 김치냉장고(0.02), 정수기(0.04), 비데(0.03), 공기청정기(0.03), 환기장치·욕실팬(0.04), LED조명(0.22), TV(0.10), 셋톱박스·사운드바(0.05), 데스크톱·모니터(0.18), 노트북·태블릿·휴대폰충전(0.08), 게임콘솔(0.08), 전기밥솥_취사(0.40), 전기밥솥_보온(0.03), 인덕션·전기레인지(1.00), 전자레인지(0.08), 오븐·에어프라이어(0.50), 전기주전자·커피머신(0.05), 히트펌프난방(0.80), 보일러순환펌프(0.05)</x:t>
  </x:si>
  <x:si>
    <x:t xml:space="preserve">냉장고(0.04), 김치냉장고(0.02), 정수기(0.04), 비데(0.03), 공기청정기(0.03), 환기장치·욕실팬(0.04), LED조명(0.22), TV(0.10), 셋톱박스·사운드바(0.05), 데스크톱·모니터(0.18), 노트북·태블릿·휴대폰충전(0.08), 게임콘솔(0.08), 전기밥솥_보온(0.03), 인덕션·전기레인지(0.80), 전자레인지(0.05), 오븐·에어프라이어(0.40), 히트펌프난방(0.80), 보일러순환펌프(0.05)</x:t>
  </x:si>
  <x:si>
    <x:t xml:space="preserve">냉장고(0.04), 김치냉장고(0.02), 정수기(0.04), 비데(0.03), 공기청정기(0.03), LED조명(0.22), TV(0.10), 셋톱박스·사운드바(0.05), 데스크톱·모니터(0.18), 노트북·태블릿·휴대폰충전(0.08), 게임콘솔(0.08), 전기밥솥_보온(0.03), 전기주전자·커피머신(0.05), 식기세척기(0.70), 음식물처리기(0.03), 히트펌프난방(0.80), 전기히터·온풍기(0.20), 보일러순환펌프(0.05)</x:t>
  </x:si>
  <x:si>
    <x:t xml:space="preserve">냉장고(0.04), 김치냉장고(0.02), 정수기(0.04), 비데(0.03), 공기청정기(0.03), LED조명(0.22), TV(0.10), 셋톱박스·사운드바(0.05), 데스크톱·모니터(0.18), 노트북·태블릿·휴대폰충전(0.08), 게임콘솔(0.08), 전기밥솥_보온(0.03), 식기세척기(0.40), 의류관리기(0.50), 히트펌프난방(0.80), 전기히터·온풍기(0.20), 가습기(0.06), 보일러순환펌프(0.05)</x:t>
  </x:si>
  <x:si>
    <x:t xml:space="preserve">냉장고(0.04), 김치냉장고(0.02), 정수기(0.04), 비데(0.03), 공기청정기(0.03), 환기장치·욕실팬(0.03), LED조명(0.16), TV(0.08), 셋톱박스·사운드바(0.04), 데스크톱·모니터(0.18), 노트북·태블릿·휴대폰충전(0.08), 게임콘솔(0.08), 전기밥솥_보온(0.03), 헤어드라이어(0.08), 히트펌프난방(0.80), 전기장판·온수매트(0.16), 전기히터·온풍기(0.20), 가습기(0.06), 보일러순환펌프(0.05), 욕실난방기(0.12)</x:t>
  </x:si>
  <x:si>
    <x:t xml:space="preserve">냉장고(0.04), 김치냉장고(0.02), 정수기(0.04), 비데(0.03), 공기청정기(0.03), LED조명(0.08), 노트북·태블릿·휴대폰충전(0.06), 히트펌프난방(0.50), 전기장판·온수매트(0.16), 가습기(0.06), 보일러순환펌프(0.05)</x:t>
  </x:si>
  <x:si>
    <x:t xml:space="preserve">봄가을_주중</x:t>
  </x:si>
  <x:si>
    <x:t xml:space="preserve">봄가을_주말</x:t>
  </x:si>
  <x:si>
    <x:t xml:space="preserve">여름_주중</x:t>
  </x:si>
  <x:si>
    <x:t xml:space="preserve">여름_주말</x:t>
  </x:si>
  <x:si>
    <x:t xml:space="preserve">겨울_주중</x:t>
  </x:si>
  <x:si>
    <x:t xml:space="preserve">겨울_주말</x:t>
  </x:si>
  <x:si>
    <x:t xml:space="preserve">평균</x:t>
  </x:si>
  <x:si>
    <x:t xml:space="preserve">합계</x:t>
  </x:si>
</x:sst>
</file>

<file path=xl/styles.xml><?xml version="1.0" encoding="utf-8"?>
<x:styleSheet xmlns:x="http://schemas.openxmlformats.org/spreadsheetml/2006/main">
  <x:numFmts count="7">
    <x:numFmt numFmtId="177" formatCode="0.000"/>
    <x:numFmt numFmtId="178" formatCode="0.00_);[Red]\(0.00\)"/>
    <x:numFmt numFmtId="181" formatCode="0_);[Red]\(0\)"/>
    <x:numFmt numFmtId="200" formatCode="#,##0"/>
    <x:numFmt numFmtId="201" formatCode="#,##0.0"/>
    <x:numFmt numFmtId="202" formatCode="0.0"/>
    <x:numFmt numFmtId="203" formatCode="0%"/>
  </x:numFmts>
  <x:fonts count="9">
    <x:font>
      <x:sz val="11"/>
      <x:name val="Carlito"/>
    </x:font>
    <x:font>
      <x:sz val="11"/>
      <x:name val="Carlito"/>
    </x:font>
    <x:font>
      <x:sz val="8"/>
      <x:name val="돋움"/>
    </x:font>
    <x:font>
      <x:sz val="11"/>
      <x:color theme="1"/>
      <x:name val="KoPub바탕체 Light"/>
    </x:font>
    <x:font>
      <x:b/>
      <x:sz val="11"/>
      <x:color theme="1"/>
      <x:name val="KoPub바탕체 Light"/>
    </x:font>
    <x:font>
      <x:sz val="11"/>
      <x:name val="KoPub바탕체 Light"/>
    </x:font>
    <x:font>
      <x:sz val="11"/>
      <x:color rgb="FFC00000"/>
      <x:name val="KoPub바탕체 Light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theme="2" tint="-0.09998"/>
      </x:patternFill>
    </x:fill>
    <x:fill>
      <x:patternFill patternType="solid">
        <x:fgColor theme="0" tint="-0.15"/>
      </x:patternFill>
    </x:fill>
    <x:fill>
      <x:patternFill patternType="solid">
        <x:fgColor theme="9" tint="0.79998"/>
      </x:patternFill>
    </x:fill>
    <x:fill>
      <x:patternFill patternType="solid">
        <x:fgColor rgb="FF17365D"/>
      </x:patternFill>
    </x:fill>
    <x:fill>
      <x:patternFill patternType="solid">
        <x:fgColor rgb="FF4472C4"/>
      </x:patternFill>
    </x:fill>
  </x:fills>
  <x:borders count="11">
    <x:border/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</x:border>
  </x:borders>
  <x:cellStyleXfs count="2">
    <x:xf numFmtId="0" fontId="0" fillId="0" borderId="0"/>
    <x:xf numFmtId="0" fontId="1" fillId="0" borderId="0"/>
  </x:cellStyleXfs>
  <x:cellXfs count="96">
    <x:xf numFmtId="0" fontId="0" fillId="0" borderId="0" xfId="0"/>
    <x:xf numFmtId="0" fontId="0" fillId="0" borderId="0" xfId="0"/>
    <x:xf numFmtId="0" fontId="0" fillId="0" borderId="0" xfId="0" applyAlignment="1">
      <x:alignment horizontal="center"/>
    </x:xf>
    <x:xf numFmtId="177" fontId="3" fillId="0" borderId="2" xfId="1" applyNumberFormat="1" applyFont="1" applyFill="1" applyBorder="1" applyAlignment="1">
      <x:alignment vertical="center"/>
    </x:xf>
    <x:xf numFmtId="0" fontId="3" fillId="0" borderId="2" xfId="1" applyNumberFormat="1" applyFont="1" applyFill="1" applyBorder="1" applyAlignment="1">
      <x:alignment vertical="center"/>
    </x:xf>
    <x:xf numFmtId="0" fontId="4" fillId="2" borderId="2" xfId="1" applyNumberFormat="1" applyFont="1" applyFill="1" applyBorder="1" applyAlignment="1">
      <x:alignment horizontal="center" vertical="center"/>
    </x:xf>
    <x:xf numFmtId="1" fontId="3" fillId="0" borderId="2" xfId="1" applyNumberFormat="1" applyFont="1" applyFill="1" applyBorder="1"/>
    <x:xf numFmtId="0" fontId="3" fillId="3" borderId="2" xfId="1" applyNumberFormat="1" applyFont="1" applyFill="1" applyBorder="1" applyAlignment="1">
      <x:alignment horizontal="center"/>
    </x:xf>
    <x:xf numFmtId="178" fontId="3" fillId="0" borderId="2" xfId="1" applyNumberFormat="1" applyFont="1" applyFill="1" applyBorder="1"/>
    <x:xf numFmtId="178" fontId="3" fillId="0" borderId="2" xfId="0" applyNumberFormat="1" applyFont="1" applyFill="1" applyBorder="1"/>
    <x:xf numFmtId="0" fontId="3" fillId="0" borderId="2" xfId="1" applyNumberFormat="1" applyFont="1" applyFill="1" applyBorder="1" applyAlignment="1">
      <x:alignment horizontal="left" vertical="center"/>
    </x:xf>
    <x:xf numFmtId="0" fontId="5" fillId="0" borderId="2" xfId="0" applyFont="1" applyBorder="1" applyAlignment="1">
      <x:alignment vertical="center"/>
    </x:xf>
    <x:xf numFmtId="178" fontId="5" fillId="0" borderId="2" xfId="0" applyNumberFormat="1" applyFont="1" applyBorder="1" applyAlignment="1">
      <x:alignment vertical="center"/>
    </x:xf>
    <x:xf numFmtId="0" fontId="5" fillId="3" borderId="2" xfId="0" applyFont="1" applyFill="1" applyBorder="1" applyAlignment="1">
      <x:alignment horizontal="center" vertical="center"/>
    </x:xf>
    <x:xf numFmtId="0" fontId="3" fillId="3" borderId="2" xfId="1" applyNumberFormat="1" applyFont="1" applyFill="1" applyBorder="1" applyAlignment="1">
      <x:alignment horizontal="center" vertical="center"/>
    </x:xf>
    <x:xf numFmtId="0" fontId="6" fillId="0" borderId="2" xfId="1" applyNumberFormat="1" applyFont="1" applyFill="1" applyBorder="1" applyAlignment="1">
      <x:alignment horizontal="center" vertical="center"/>
    </x:xf>
    <x:xf numFmtId="0" fontId="6" fillId="3" borderId="2" xfId="1" applyNumberFormat="1" applyFont="1" applyFill="1" applyBorder="1" applyAlignment="1">
      <x:alignment horizontal="center" vertical="center"/>
    </x:xf>
    <x:xf numFmtId="177" fontId="3" fillId="3" borderId="2" xfId="1" applyNumberFormat="1" applyFont="1" applyFill="1" applyBorder="1" applyAlignment="1">
      <x:alignment horizontal="center" vertical="center"/>
    </x:xf>
    <x:xf numFmtId="0" fontId="5" fillId="0" borderId="2" xfId="0" applyFont="1" applyFill="1" applyBorder="1" applyAlignment="1">
      <x:alignment vertical="center"/>
    </x:xf>
    <x:xf numFmtId="0" fontId="5" fillId="0" borderId="2" xfId="0" applyFont="1" applyFill="1" applyBorder="1" applyAlignment="1">
      <x:alignment horizontal="center" vertical="center"/>
    </x:xf>
    <x:xf numFmtId="178" fontId="5" fillId="0" borderId="2" xfId="0" applyNumberFormat="1" applyFont="1" applyFill="1" applyBorder="1" applyAlignment="1">
      <x:alignment vertical="center"/>
    </x:xf>
    <x:xf numFmtId="181" fontId="3" fillId="0" borderId="2" xfId="1" applyNumberFormat="1" applyFont="1" applyFill="1" applyBorder="1" applyAlignment="1">
      <x:alignment horizontal="right" vertical="center"/>
    </x:xf>
    <x:xf numFmtId="178" fontId="3" fillId="4" borderId="2" xfId="1" applyNumberFormat="1" applyFont="1" applyFill="1" applyBorder="1" applyAlignment="1">
      <x:alignment horizontal="right" vertical="center"/>
    </x:xf>
    <x:xf numFmtId="1" fontId="3" fillId="4" borderId="7" xfId="1" applyNumberFormat="1" applyFont="1" applyFill="1" applyBorder="1" applyAlignment="1">
      <x:alignment horizontal="center" vertical="center"/>
    </x:xf>
    <x:xf numFmtId="1" fontId="3" fillId="4" borderId="7" xfId="1" applyNumberFormat="1" applyFont="1" applyFill="1" applyBorder="1" applyAlignment="1">
      <x:alignment horizontal="center" vertical="center"/>
    </x:xf>
    <x:xf numFmtId="1" fontId="3" fillId="4" borderId="8" xfId="1" applyNumberFormat="1" applyFont="1" applyFill="1" applyBorder="1" applyAlignment="1">
      <x:alignment horizontal="center" vertical="center"/>
    </x:xf>
    <x:xf numFmtId="0" fontId="5" fillId="0" borderId="8" xfId="0" applyFont="1" applyFill="1" applyBorder="1" applyAlignment="1">
      <x:alignment vertical="center"/>
    </x:xf>
    <x:xf numFmtId="181" fontId="3" fillId="0" borderId="8" xfId="1" applyNumberFormat="1" applyFont="1" applyFill="1" applyBorder="1" applyAlignment="1">
      <x:alignment horizontal="right" vertical="center"/>
    </x:xf>
    <x:xf numFmtId="0" fontId="5" fillId="0" borderId="7" xfId="0" applyFont="1" applyFill="1" applyBorder="1" applyAlignment="1">
      <x:alignment vertical="center"/>
    </x:xf>
    <x:xf numFmtId="181" fontId="3" fillId="0" borderId="7" xfId="1" applyNumberFormat="1" applyFont="1" applyFill="1" applyBorder="1" applyAlignment="1">
      <x:alignment horizontal="right" vertical="center"/>
    </x:xf>
    <x:xf numFmtId="0" fontId="5" fillId="3" borderId="3" xfId="0" applyFont="1" applyFill="1" applyBorder="1" applyAlignment="1">
      <x:alignment horizontal="center" vertical="center"/>
    </x:xf>
    <x:xf numFmtId="0" fontId="5" fillId="3" borderId="4" xfId="0" applyFont="1" applyFill="1" applyBorder="1" applyAlignment="1">
      <x:alignment horizontal="center" vertical="center"/>
    </x:xf>
    <x:xf numFmtId="0" fontId="5" fillId="3" borderId="5" xfId="0" applyFont="1" applyFill="1" applyBorder="1" applyAlignment="1">
      <x:alignment horizontal="center" vertical="center"/>
    </x:xf>
    <x:xf numFmtId="0" fontId="5" fillId="0" borderId="9" xfId="0" applyFont="1" applyFill="1" applyBorder="1" applyAlignment="1">
      <x:alignment vertical="center"/>
    </x:xf>
    <x:xf numFmtId="0" fontId="5" fillId="0" borderId="6" xfId="0" applyFont="1" applyFill="1" applyBorder="1" applyAlignment="1">
      <x:alignment horizontal="center" vertical="center"/>
    </x:xf>
    <x:xf numFmtId="178" fontId="5" fillId="0" borderId="6" xfId="0" applyNumberFormat="1" applyFont="1" applyFill="1" applyBorder="1" applyAlignment="1">
      <x:alignment vertical="center"/>
    </x:xf>
    <x:xf numFmtId="0" fontId="5" fillId="0" borderId="10" xfId="0" applyFont="1" applyFill="1" applyBorder="1" applyAlignment="1">
      <x:alignment vertical="center"/>
    </x:xf>
    <x:xf numFmtId="178" fontId="5" fillId="0" borderId="6" xfId="0" applyNumberFormat="1" applyFont="1" applyBorder="1" applyAlignment="1">
      <x:alignment vertical="center"/>
    </x:xf>
    <x:xf numFmtId="1" fontId="3" fillId="0" borderId="1" xfId="1" applyNumberFormat="1" applyFont="1" applyFill="1" applyBorder="1"/>
    <x:xf numFmtId="178" fontId="3" fillId="0" borderId="1" xfId="1" applyNumberFormat="1" applyFont="1" applyFill="1" applyBorder="1"/>
    <x:xf numFmtId="1" fontId="3" fillId="0" borderId="2" xfId="1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177" fontId="3" fillId="0" borderId="2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horizontal="center" vertical="center"/>
    </x:xf>
    <x:xf numFmtId="1" fontId="3" fillId="0" borderId="2" xfId="0" applyNumberFormat="1" applyFont="1" applyFill="1" applyBorder="1"/>
    <x:xf numFmtId="0" fontId="3" fillId="3" borderId="2" xfId="0" applyNumberFormat="1" applyFont="1" applyFill="1" applyBorder="1" applyAlignment="1">
      <x:alignment horizontal="center"/>
    </x:xf>
    <x:xf numFmtId="0" fontId="3" fillId="0" borderId="2" xfId="0" applyNumberFormat="1" applyFont="1" applyFill="1" applyBorder="1" applyAlignment="1">
      <x:alignment horizontal="left" vertical="center"/>
    </x:xf>
    <x:xf numFmtId="0" fontId="5" fillId="0" borderId="2" xfId="0" applyNumberFormat="1" applyFont="1" applyFill="1" applyBorder="1" applyAlignment="1">
      <x:alignment vertical="center"/>
    </x:xf>
    <x:xf numFmtId="0" fontId="5" fillId="3" borderId="2" xfId="0" applyNumberFormat="1" applyFont="1" applyFill="1" applyBorder="1" applyAlignment="1">
      <x:alignment horizontal="center" vertical="center"/>
    </x:xf>
    <x:xf numFmtId="0" fontId="3" fillId="3" borderId="2" xfId="0" applyNumberFormat="1" applyFont="1" applyFill="1" applyBorder="1" applyAlignment="1">
      <x:alignment horizontal="center" vertical="center"/>
    </x:xf>
    <x:xf numFmtId="0" fontId="6" fillId="0" borderId="2" xfId="0" applyNumberFormat="1" applyFont="1" applyFill="1" applyBorder="1" applyAlignment="1">
      <x:alignment horizontal="center" vertical="center"/>
    </x:xf>
    <x:xf numFmtId="0" fontId="6" fillId="3" borderId="2" xfId="0" applyNumberFormat="1" applyFont="1" applyFill="1" applyBorder="1" applyAlignment="1">
      <x:alignment horizontal="center" vertical="center"/>
    </x:xf>
    <x:xf numFmtId="177" fontId="3" fillId="3" borderId="2" xfId="0" applyNumberFormat="1" applyFont="1" applyFill="1" applyBorder="1" applyAlignment="1">
      <x:alignment horizontal="center" vertical="center"/>
    </x:xf>
    <x:xf numFmtId="0" fontId="5" fillId="0" borderId="2" xfId="0" applyNumberFormat="1" applyFont="1" applyFill="1" applyBorder="1" applyAlignment="1">
      <x:alignment horizontal="center" vertical="center"/>
    </x:xf>
    <x:xf numFmtId="181" fontId="3" fillId="0" borderId="2" xfId="0" applyNumberFormat="1" applyFont="1" applyFill="1" applyBorder="1" applyAlignment="1">
      <x:alignment horizontal="right" vertical="center"/>
    </x:xf>
    <x:xf numFmtId="178" fontId="3" fillId="4" borderId="2" xfId="0" applyNumberFormat="1" applyFont="1" applyFill="1" applyBorder="1" applyAlignment="1">
      <x:alignment horizontal="right" vertical="center"/>
    </x:xf>
    <x:xf numFmtId="1" fontId="3" fillId="4" borderId="7" xfId="0" applyNumberFormat="1" applyFont="1" applyFill="1" applyBorder="1" applyAlignment="1">
      <x:alignment horizontal="center" vertical="center"/>
    </x:xf>
    <x:xf numFmtId="1" fontId="3" fillId="4" borderId="8" xfId="0" applyNumberFormat="1" applyFont="1" applyFill="1" applyBorder="1" applyAlignment="1">
      <x:alignment horizontal="center" vertical="center"/>
    </x:xf>
    <x:xf numFmtId="0" fontId="5" fillId="0" borderId="8" xfId="0" applyNumberFormat="1" applyFont="1" applyFill="1" applyBorder="1" applyAlignment="1">
      <x:alignment vertical="center"/>
    </x:xf>
    <x:xf numFmtId="181" fontId="3" fillId="0" borderId="8" xfId="0" applyNumberFormat="1" applyFont="1" applyFill="1" applyBorder="1" applyAlignment="1">
      <x:alignment horizontal="right" vertical="center"/>
    </x:xf>
    <x:xf numFmtId="0" fontId="5" fillId="0" borderId="7" xfId="0" applyNumberFormat="1" applyFont="1" applyFill="1" applyBorder="1" applyAlignment="1">
      <x:alignment vertical="center"/>
    </x:xf>
    <x:xf numFmtId="181" fontId="3" fillId="0" borderId="7" xfId="0" applyNumberFormat="1" applyFont="1" applyFill="1" applyBorder="1" applyAlignment="1">
      <x:alignment horizontal="right" vertical="center"/>
    </x:xf>
    <x:xf numFmtId="0" fontId="5" fillId="3" borderId="3" xfId="0" applyNumberFormat="1" applyFont="1" applyFill="1" applyBorder="1" applyAlignment="1">
      <x:alignment horizontal="center" vertical="center"/>
    </x:xf>
    <x:xf numFmtId="0" fontId="5" fillId="3" borderId="4" xfId="0" applyNumberFormat="1" applyFont="1" applyFill="1" applyBorder="1" applyAlignment="1">
      <x:alignment horizontal="center" vertical="center"/>
    </x:xf>
    <x:xf numFmtId="0" fontId="5" fillId="3" borderId="5" xfId="0" applyNumberFormat="1" applyFont="1" applyFill="1" applyBorder="1" applyAlignment="1">
      <x:alignment horizontal="center" vertical="center"/>
    </x:xf>
    <x:xf numFmtId="0" fontId="5" fillId="0" borderId="9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horizontal="center" vertical="center"/>
    </x:xf>
    <x:xf numFmtId="0" fontId="5" fillId="0" borderId="10" xfId="0" applyNumberFormat="1" applyFont="1" applyFill="1" applyBorder="1" applyAlignment="1">
      <x:alignment vertical="center"/>
    </x:xf>
    <x:xf numFmtId="1" fontId="3" fillId="0" borderId="0" xfId="0" applyNumberFormat="1" applyFont="1" applyFill="1" applyBorder="1"/>
    <x:xf numFmtId="178" fontId="3" fillId="0" borderId="0" xfId="0" applyNumberFormat="1" applyFont="1" applyFill="1" applyBorder="1"/>
    <x:xf numFmtId="1" fontId="3" fillId="0" borderId="2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horizontal="center"/>
    </x:xf>
    <x:xf numFmtId="0" fontId="7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horizontal="center" wrapText="1"/>
    </x:xf>
    <x:xf numFmtId="0" fontId="8" fillId="6" borderId="0" xfId="0" applyNumberFormat="1" applyFont="1" applyFill="1" applyBorder="1" applyAlignment="1">
      <x:alignment horizontal="center" vertical="center" wrapText="1"/>
    </x:xf>
    <x:xf numFmtId="0" fontId="8" fillId="6" xfId="0" applyNumberFormat="1" applyFont="1" applyFill="1" applyBorder="0" applyAlignment="1">
      <x:alignment horizontal="center" vertical="center" wrapText="1"/>
    </x:xf>
    <x:xf numFmtId="0" fontId="0" fillId="0" xfId="0" applyNumberFormat="1" applyFont="1" applyFill="1" applyBorder="0"/>
    <x:xf numFmtId="200" fontId="0" fillId="0" xfId="0" applyNumberFormat="1" applyFont="1" applyFill="1" applyBorder="0"/>
    <x:xf numFmtId="201" fontId="0" fillId="0" xfId="0" applyNumberFormat="1" applyFont="1" applyFill="1" applyBorder="0"/>
    <x:xf numFmtId="202" fontId="0" fillId="0" xfId="0" applyNumberFormat="1" applyFont="1" applyFill="1" applyBorder="0"/>
    <x:xf numFmtId="0" fontId="7" fillId="5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xfId="0" applyNumberFormat="1" applyFont="1" applyFill="1" applyBorder="0" applyAlignment="1">
      <x:alignment wrapText="1"/>
    </x:xf>
    <x:xf numFmtId="200" fontId="0" fillId="0" xfId="0" applyNumberFormat="1" applyFont="1" applyFill="1" applyBorder="0" applyAlignment="1">
      <x:alignment wrapText="1"/>
    </x:xf>
    <x:xf numFmtId="201" fontId="0" fillId="0" xfId="0" applyNumberFormat="1" applyFont="1" applyFill="1" applyBorder="0" applyAlignment="1">
      <x:alignment wrapText="1"/>
    </x:xf>
    <x:xf numFmtId="202" fontId="0" fillId="0" xfId="0" applyNumberFormat="1" applyFont="1" applyFill="1" applyBorder="0" applyAlignment="1">
      <x:alignment wrapText="1"/>
    </x:xf>
    <x:xf numFmtId="0" fontId="0" fillId="0" xfId="0" applyNumberFormat="1" applyFont="1" applyFill="1" applyBorder="0" applyAlignment="1">
      <x:alignment horizontal="center"/>
    </x:xf>
    <x:xf numFmtId="203" fontId="0" fillId="0" xfId="0" applyNumberFormat="1" applyFont="1" applyFill="1" applyBorder="0"/>
    <x:xf numFmtId="203" fontId="0" fillId="0" xfId="0" applyNumberFormat="1" applyFont="1" applyFill="1" applyBorder="0" applyAlignment="1">
      <x:alignment wrapText="1"/>
    </x:xf>
  </x:cellXfs>
  <x:cellStyles count="2">
    <x:cellStyle name="Normal" xfId="1"/>
    <x:cellStyle name="표준" xfId="0"/>
  </x:cellStyles>
  <x:dxfs count="63">
    <x:dxf>
      <x:font>
        <x:color auto="1"/>
      </x:font>
      <x:fill>
        <x:patternFill>
          <x:bgColor theme="8" tint="0.79998"/>
        </x:patternFill>
      </x:fill>
    </x:dxf>
    <x:dxf>
      <x:font>
        <x:color auto="1"/>
      </x:font>
      <x:fill>
        <x:patternFill>
          <x:bgColor theme="7" tint="0.59996"/>
        </x:patternFill>
      </x:fill>
    </x:dxf>
    <x:dxf>
      <x:font>
        <x:color auto="1"/>
      </x:font>
      <x:fill>
        <x:patternFill>
          <x:bgColor theme="8" tint="0.79998"/>
        </x:patternFill>
      </x:fill>
    </x:dxf>
    <x:dxf>
      <x:font>
        <x:color auto="1"/>
      </x:font>
      <x:fill>
        <x:patternFill>
          <x:bgColor theme="7" tint="0.59996"/>
        </x:patternFill>
      </x:fill>
    </x:dxf>
    <x:dxf>
      <x:font>
        <x:color auto="1"/>
      </x:font>
      <x:fill>
        <x:patternFill>
          <x:bgColor theme="8" tint="0.79998"/>
        </x:patternFill>
      </x:fill>
    </x:dxf>
    <x:dxf>
      <x:font>
        <x:color auto="1"/>
      </x:font>
      <x:fill>
        <x:patternFill>
          <x:bgColor theme="7" tint="0.59996"/>
        </x:patternFill>
      </x:fill>
    </x:dxf>
    <x:dxf>
      <x:font>
        <x:color auto="1"/>
      </x:font>
      <x:fill>
        <x:patternFill>
          <x:bgColor theme="8" tint="0.79998"/>
        </x:patternFill>
      </x:fill>
    </x:dxf>
    <x:dxf>
      <x:font>
        <x:color auto="1"/>
      </x:font>
      <x:fill>
        <x:patternFill>
          <x:bgColor theme="7" tint="0.59996"/>
        </x:patternFill>
      </x:fill>
    </x:dxf>
    <x:dxf>
      <x:font>
        <x:color auto="1"/>
      </x:font>
      <x:fill>
        <x:patternFill>
          <x:bgColor theme="8" tint="0.79998"/>
        </x:patternFill>
      </x:fill>
    </x:dxf>
    <x:dxf>
      <x:font>
        <x:color auto="1"/>
      </x:font>
      <x:fill>
        <x:patternFill>
          <x:bgColor theme="7" tint="0.59996"/>
        </x:patternFill>
      </x:fill>
    </x:dxf>
    <x:dxf>
      <x:font>
        <x:color auto="1"/>
      </x:font>
      <x:fill>
        <x:patternFill>
          <x:bgColor theme="8" tint="0.79998"/>
        </x:patternFill>
      </x:fill>
    </x:dxf>
    <x:dxf>
      <x:font>
        <x:color auto="1"/>
      </x:font>
      <x:fill>
        <x:patternFill>
          <x:bgColor theme="7" tint="0.59996"/>
        </x:patternFill>
      </x:fill>
    </x:dxf>
    <x:dxf>
      <x:font>
        <x:color theme="1"/>
        <x:name val="KoPub바탕체 Light"/>
        <x:family val="3"/>
      </x:font>
      <x:numFmt numFmtId="178" formatCode="0.00_);[Red]\(0.00\)"/>
      <x:fill>
        <x:patternFill>
          <x:bgColor indexed="65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color theme="1"/>
        <x:name val="KoPub바탕체 Light"/>
        <x:family val="3"/>
      </x:font>
      <x:numFmt numFmtId="0" formatCode="General"/>
      <x:fill>
        <x:patternFill>
          <x:bgColor indexed="65"/>
        </x:patternFill>
      </x:fill>
      <x:border>
        <x:left style="thin">
          <x:color indexed="64"/>
        </x:left>
        <x:right/>
        <x:top style="thin">
          <x:color indexed="64"/>
        </x:top>
        <x:bottom style="thin">
          <x:color indexed="64"/>
        </x:bottom>
      </x:border>
    </x:dxf>
    <x:dxf>
      <x:font>
        <x:color theme="1"/>
        <x:name val="KoPub바탕체 Light"/>
        <x:family val="3"/>
      </x:font>
      <x:numFmt numFmtId="178" formatCode="0.00_);[Red]\(0.00\)"/>
      <x:fill>
        <x:patternFill>
          <x:bgColor indexed="65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u val="none"/>
        <x:sz val="11"/>
        <x:color auto="1"/>
        <x:name val="KoPub바탕체 Light"/>
        <x:family val="3"/>
        <x:scheme val="none"/>
      </x:font>
      <x:fill>
        <x:patternFill>
          <x:bgColor indexed="64"/>
        </x:patternFill>
      </x:fill>
      <x:border>
        <x:left style="thin">
          <x:color indexed="64"/>
        </x:left>
        <x:right style="thin">
          <x:color indexed="64"/>
        </x:right>
        <x:top/>
        <x:bottom/>
      </x:border>
    </x:dxf>
    <x:dxf>
      <x:font>
        <x:color theme="1"/>
        <x:name val="KoPub바탕체 Light"/>
        <x:family val="3"/>
      </x:font>
      <x:fill>
        <x:patternFill>
          <x:bgColor indexed="65"/>
        </x:patternFill>
      </x:fill>
    </x:dxf>
    <x:dxf>
      <x:font>
        <x:color theme="1"/>
        <x:name val="KoPub바탕체 Light"/>
        <x:family val="3"/>
      </x:font>
      <x:numFmt numFmtId="178" formatCode="0.00_);[Red]\(0.00\)"/>
      <x:fill>
        <x:patternFill>
          <x:bgColor indexed="65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color theme="1"/>
        <x:name val="KoPub바탕체 Light"/>
        <x:family val="3"/>
      </x:font>
      <x:numFmt numFmtId="178" formatCode="0.00_);[Red]\(0.00\)"/>
      <x:fill>
        <x:patternFill>
          <x:bgColor indexed="65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color theme="1"/>
        <x:name val="KoPub바탕체 Light"/>
        <x:family val="3"/>
      </x:font>
      <x:numFmt numFmtId="178" formatCode="0.00_);[Red]\(0.00\)"/>
      <x:fill>
        <x:patternFill>
          <x:bgColor indexed="65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color theme="1"/>
        <x:name val="KoPub바탕체 Light"/>
        <x:family val="3"/>
      </x:font>
      <x:numFmt numFmtId="178" formatCode="0.00_);[Red]\(0.00\)"/>
      <x:fill>
        <x:patternFill>
          <x:bgColor indexed="65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color theme="1"/>
        <x:name val="KoPub바탕체 Light"/>
        <x:family val="3"/>
      </x:font>
      <x:numFmt numFmtId="178" formatCode="0.00_);[Red]\(0.00\)"/>
      <x:fill>
        <x:patternFill>
          <x:bgColor indexed="65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color theme="1"/>
        <x:name val="KoPub바탕체 Light"/>
        <x:family val="3"/>
      </x:font>
      <x:numFmt numFmtId="178" formatCode="0.00_);[Red]\(0.00\)"/>
      <x:fill>
        <x:patternFill>
          <x:bgColor indexed="65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color theme="1"/>
        <x:name val="KoPub바탕체 Light"/>
        <x:family val="3"/>
      </x:font>
      <x:numFmt numFmtId="178" formatCode="0.00_);[Red]\(0.00\)"/>
      <x:fill>
        <x:patternFill>
          <x:bgColor indexed="65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color theme="1"/>
        <x:name val="KoPub바탕체 Light"/>
        <x:family val="3"/>
      </x:font>
      <x:numFmt numFmtId="178" formatCode="0.00_);[Red]\(0.00\)"/>
      <x:fill>
        <x:patternFill>
          <x:bgColor indexed="65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color theme="1"/>
        <x:name val="KoPub바탕체 Light"/>
        <x:family val="3"/>
      </x:font>
      <x:numFmt numFmtId="178" formatCode="0.00_);[Red]\(0.00\)"/>
      <x:fill>
        <x:patternFill>
          <x:bgColor indexed="65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color theme="1"/>
        <x:name val="KoPub바탕체 Light"/>
        <x:family val="3"/>
      </x:font>
      <x:numFmt numFmtId="178" formatCode="0.00_);[Red]\(0.00\)"/>
      <x:fill>
        <x:patternFill>
          <x:bgColor indexed="65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color theme="1"/>
        <x:name val="KoPub바탕체 Light"/>
        <x:family val="3"/>
      </x:font>
      <x:numFmt numFmtId="178" formatCode="0.00_);[Red]\(0.00\)"/>
      <x:fill>
        <x:patternFill>
          <x:bgColor indexed="65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color theme="1"/>
        <x:name val="KoPub바탕체 Light"/>
        <x:family val="3"/>
      </x:font>
      <x:numFmt numFmtId="178" formatCode="0.00_);[Red]\(0.00\)"/>
      <x:fill>
        <x:patternFill>
          <x:bgColor indexed="65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color theme="1"/>
        <x:name val="KoPub바탕체 Light"/>
        <x:family val="3"/>
      </x:font>
      <x:numFmt numFmtId="178" formatCode="0.00_);[Red]\(0.00\)"/>
      <x:fill>
        <x:patternFill>
          <x:bgColor indexed="65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color theme="1"/>
        <x:name val="KoPub바탕체 Light"/>
        <x:family val="3"/>
      </x:font>
      <x:numFmt numFmtId="178" formatCode="0.00_);[Red]\(0.00\)"/>
      <x:fill>
        <x:patternFill>
          <x:bgColor indexed="65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color theme="1"/>
        <x:name val="KoPub바탕체 Light"/>
        <x:family val="3"/>
      </x:font>
      <x:numFmt numFmtId="178" formatCode="0.00_);[Red]\(0.00\)"/>
      <x:fill>
        <x:patternFill>
          <x:bgColor indexed="65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color theme="1"/>
        <x:name val="KoPub바탕체 Light"/>
        <x:family val="3"/>
      </x:font>
      <x:numFmt numFmtId="178" formatCode="0.00_);[Red]\(0.00\)"/>
      <x:fill>
        <x:patternFill>
          <x:bgColor indexed="65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color theme="1"/>
        <x:name val="KoPub바탕체 Light"/>
        <x:family val="3"/>
      </x:font>
      <x:numFmt numFmtId="178" formatCode="0.00_);[Red]\(0.00\)"/>
      <x:fill>
        <x:patternFill>
          <x:bgColor indexed="65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color theme="1"/>
        <x:name val="KoPub바탕체 Light"/>
        <x:family val="3"/>
      </x:font>
      <x:numFmt numFmtId="178" formatCode="0.00_);[Red]\(0.00\)"/>
      <x:fill>
        <x:patternFill>
          <x:bgColor indexed="65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color theme="1"/>
        <x:name val="KoPub바탕체 Light"/>
        <x:family val="3"/>
      </x:font>
      <x:numFmt numFmtId="178" formatCode="0.00_);[Red]\(0.00\)"/>
      <x:fill>
        <x:patternFill>
          <x:bgColor indexed="65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color theme="1"/>
        <x:name val="KoPub바탕체 Light"/>
        <x:family val="3"/>
      </x:font>
      <x:numFmt numFmtId="178" formatCode="0.00_);[Red]\(0.00\)"/>
      <x:fill>
        <x:patternFill>
          <x:bgColor indexed="65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color theme="1"/>
        <x:name val="KoPub바탕체 Light"/>
        <x:family val="3"/>
      </x:font>
      <x:numFmt numFmtId="178" formatCode="0.00_);[Red]\(0.00\)"/>
      <x:fill>
        <x:patternFill>
          <x:bgColor indexed="65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color theme="1"/>
        <x:name val="KoPub바탕체 Light"/>
        <x:family val="3"/>
      </x:font>
      <x:numFmt numFmtId="178" formatCode="0.00_);[Red]\(0.00\)"/>
      <x:fill>
        <x:patternFill>
          <x:bgColor indexed="65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color theme="1"/>
        <x:name val="KoPub바탕체 Light"/>
        <x:family val="3"/>
      </x:font>
      <x:numFmt numFmtId="178" formatCode="0.00_);[Red]\(0.00\)"/>
      <x:fill>
        <x:patternFill>
          <x:bgColor indexed="65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color theme="1"/>
        <x:name val="KoPub바탕체 Light"/>
        <x:family val="3"/>
      </x:font>
      <x:numFmt numFmtId="178" formatCode="0.00_);[Red]\(0.00\)"/>
      <x:fill>
        <x:patternFill>
          <x:bgColor indexed="65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color theme="1"/>
        <x:name val="KoPub바탕체 Light"/>
        <x:family val="3"/>
      </x:font>
      <x:numFmt numFmtId="178" formatCode="0.00_);[Red]\(0.00\)"/>
      <x:fill>
        <x:patternFill>
          <x:bgColor indexed="65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color theme="1"/>
        <x:name val="KoPub바탕체 Light"/>
        <x:family val="3"/>
      </x:font>
      <x:numFmt numFmtId="178" formatCode="0.00_);[Red]\(0.00\)"/>
      <x:fill>
        <x:patternFill>
          <x:bgColor indexed="65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color theme="1"/>
        <x:name val="KoPub바탕체 Light"/>
        <x:family val="3"/>
      </x:font>
      <x:numFmt numFmtId="178" formatCode="0.00_);[Red]\(0.00\)"/>
      <x:fill>
        <x:patternFill>
          <x:bgColor indexed="65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color theme="1"/>
        <x:name val="KoPub바탕체 Light"/>
        <x:family val="3"/>
      </x:font>
      <x:numFmt numFmtId="178" formatCode="0.00_);[Red]\(0.00\)"/>
      <x:fill>
        <x:patternFill>
          <x:bgColor indexed="65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color theme="1"/>
        <x:name val="KoPub바탕체 Light"/>
        <x:family val="3"/>
      </x:font>
      <x:numFmt numFmtId="178" formatCode="0.00_);[Red]\(0.00\)"/>
      <x:fill>
        <x:patternFill>
          <x:bgColor indexed="65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color theme="1"/>
        <x:name val="KoPub바탕체 Light"/>
        <x:family val="3"/>
      </x:font>
      <x:numFmt numFmtId="178" formatCode="0.00_);[Red]\(0.00\)"/>
      <x:fill>
        <x:patternFill>
          <x:bgColor indexed="65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color theme="1"/>
        <x:name val="KoPub바탕체 Light"/>
        <x:family val="3"/>
      </x:font>
      <x:numFmt numFmtId="178" formatCode="0.00_);[Red]\(0.00\)"/>
      <x:fill>
        <x:patternFill>
          <x:bgColor indexed="65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color theme="1"/>
        <x:name val="KoPub바탕체 Light"/>
        <x:family val="3"/>
      </x:font>
      <x:numFmt numFmtId="178" formatCode="0.00_);[Red]\(0.00\)"/>
      <x:fill>
        <x:patternFill>
          <x:bgColor indexed="65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color theme="1"/>
        <x:name val="KoPub바탕체 Light"/>
        <x:family val="3"/>
      </x:font>
      <x:numFmt numFmtId="178" formatCode="0.00_);[Red]\(0.00\)"/>
      <x:fill>
        <x:patternFill>
          <x:bgColor indexed="65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color theme="1"/>
        <x:name val="KoPub바탕체 Light"/>
        <x:family val="3"/>
      </x:font>
      <x:numFmt numFmtId="178" formatCode="0.00_);[Red]\(0.00\)"/>
      <x:fill>
        <x:patternFill>
          <x:bgColor indexed="65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color theme="1"/>
        <x:name val="KoPub바탕체 Light"/>
        <x:family val="3"/>
      </x:font>
      <x:numFmt numFmtId="178" formatCode="0.00_);[Red]\(0.00\)"/>
      <x:fill>
        <x:patternFill>
          <x:bgColor indexed="65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color theme="1"/>
        <x:name val="KoPub바탕체 Light"/>
        <x:family val="3"/>
      </x:font>
      <x:numFmt numFmtId="178" formatCode="0.00_);[Red]\(0.00\)"/>
      <x:fill>
        <x:patternFill>
          <x:bgColor indexed="65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color theme="1"/>
        <x:name val="KoPub바탕체 Light"/>
        <x:family val="3"/>
      </x:font>
      <x:numFmt numFmtId="178" formatCode="0.00_);[Red]\(0.00\)"/>
      <x:fill>
        <x:patternFill>
          <x:bgColor indexed="65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color theme="1"/>
        <x:name val="KoPub바탕체 Light"/>
        <x:family val="3"/>
      </x:font>
      <x:numFmt numFmtId="178" formatCode="0.00_);[Red]\(0.00\)"/>
      <x:fill>
        <x:patternFill>
          <x:bgColor indexed="65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color theme="1"/>
        <x:name val="KoPub바탕체 Light"/>
        <x:family val="3"/>
      </x:font>
      <x:numFmt numFmtId="178" formatCode="0.00_);[Red]\(0.00\)"/>
      <x:fill>
        <x:patternFill>
          <x:bgColor indexed="65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color theme="1"/>
        <x:name val="KoPub바탕체 Light"/>
        <x:family val="3"/>
      </x:font>
      <x:numFmt numFmtId="178" formatCode="0.00_);[Red]\(0.00\)"/>
      <x:fill>
        <x:patternFill>
          <x:bgColor indexed="65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color theme="1"/>
        <x:name val="KoPub바탕체 Light"/>
        <x:family val="3"/>
      </x:font>
      <x:numFmt numFmtId="178" formatCode="0.00_);[Red]\(0.00\)"/>
      <x:fill>
        <x:patternFill>
          <x:bgColor indexed="65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color theme="1"/>
        <x:name val="KoPub바탕체 Light"/>
        <x:family val="3"/>
      </x:font>
      <x:numFmt numFmtId="30" formatCode="@"/>
      <x:fill>
        <x:patternFill>
          <x:bgColor indexed="65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color theme="1"/>
        <x:name val="KoPub바탕체 Light"/>
        <x:family val="3"/>
      </x:font>
      <x:numFmt numFmtId="1" formatCode="0"/>
      <x:fill>
        <x:patternFill>
          <x:bgColor indexed="65"/>
        </x:patternFill>
      </x:fill>
      <x:border>
        <x:left/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76ee8675cc462b" /><Relationship Type="http://schemas.openxmlformats.org/officeDocument/2006/relationships/theme" Target="/xl/theme/theme1.xml" Id="Rfc3419c0de264bb8" /><Relationship Type="http://schemas.openxmlformats.org/officeDocument/2006/relationships/sharedStrings" Target="/xl/sharedStrings.xml" Id="Rcffc32f1d43a4e5e" /><Relationship Type="http://schemas.openxmlformats.org/officeDocument/2006/relationships/worksheet" Target="/xl/worksheets/sheet1.xml" Id="R22b6593a64df4e51" /><Relationship Type="http://schemas.openxmlformats.org/officeDocument/2006/relationships/worksheet" Target="/xl/worksheets/sheet2.xml" Id="Rb8b1764ddc0a456c" /><Relationship Type="http://schemas.openxmlformats.org/officeDocument/2006/relationships/worksheet" Target="/xl/worksheets/sheet3.xml" Id="Rc04c43c9258b495b" /><Relationship Type="http://schemas.openxmlformats.org/officeDocument/2006/relationships/worksheet" Target="/xl/worksheets/sheet4.xml" Id="Reef96cb08c104573" /><Relationship Type="http://schemas.openxmlformats.org/officeDocument/2006/relationships/worksheet" Target="/xl/worksheets/sheet5.xml" Id="Ra2af5234f81e4622" /><Relationship Type="http://schemas.openxmlformats.org/officeDocument/2006/relationships/worksheet" Target="/xl/worksheets/sheet6.xml" Id="Rdd71dbb1d9fc4396" /><Relationship Type="http://schemas.openxmlformats.org/officeDocument/2006/relationships/worksheet" Target="/xl/worksheets/sheet7.xml" Id="Rc3c8db81903b4bbe" /><Relationship Type="http://schemas.openxmlformats.org/officeDocument/2006/relationships/worksheet" Target="/xl/worksheets/sheet8.xml" Id="R918e6aabeede44a0" /><Relationship Type="http://schemas.openxmlformats.org/officeDocument/2006/relationships/worksheet" Target="/xl/worksheets/sheet9.xml" Id="Raba0a0655ab640c1" /><Relationship Type="http://schemas.openxmlformats.org/officeDocument/2006/relationships/worksheet" Target="/xl/worksheets/sheet10.xml" Id="R3b4540ecd3ba4f47" /><Relationship Type="http://schemas.openxmlformats.org/officeDocument/2006/relationships/worksheet" Target="/xl/worksheets/sheet11.xml" Id="R7a9bb424d9ae49f8" /><Relationship Type="http://schemas.openxmlformats.org/officeDocument/2006/relationships/worksheet" Target="/xl/worksheets/sheet12.xml" Id="R87d6dc69ca464b9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2972a7d1dff4bcc" /><Relationship Type="http://schemas.openxmlformats.org/officeDocument/2006/relationships/chart" Target="/xl/drawings/charts/chart2.xml" Id="R0e12558751424a95" /><Relationship Type="http://schemas.openxmlformats.org/officeDocument/2006/relationships/chart" Target="/xl/drawings/charts/chart3.xml" Id="R4b991fca3df048b7" /><Relationship Type="http://schemas.openxmlformats.org/officeDocument/2006/relationships/chart" Target="/xl/drawings/charts/chart4.xml" Id="R487116e8c0af41f9" /><Relationship Type="http://schemas.openxmlformats.org/officeDocument/2006/relationships/chart" Target="/xl/drawings/charts/chart5.xml" Id="Rba7e136b9e9244e7" /></Relationships>
</file>

<file path=xl/drawings/charts/chart1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plotArea>
      <c:layout/>
      <c:lineChart>
        <c:grouping val="standard"/>
        <c:varyColors val="1"/>
        <c:ser>
          <c:idx val="0"/>
          <c:order val="0"/>
          <c:tx>
            <c:strRef>
              <c:f>Curve_Data_값!$B$1</c:f>
              <c:strCache>
                <c:ptCount val="1"/>
                <c:pt idx="0">
                  <c:v>봄가을_주중</c:v>
                </c:pt>
              </c:strCache>
            </c:strRef>
          </c:tx>
          <c:cat>
            <c:numRef>
              <c:f>Curve_Data_값!$A$2:$A$25</c:f>
              <c:numCache>
                <c:formatCode>0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Curve_Data_값!$B$2:$B$25</c:f>
              <c:numCache>
                <c:formatCode>0.00_);[Red]\(0.00\)</c:formatCode>
                <c:ptCount val="24"/>
                <c:pt idx="0">
                  <c:v>0.158</c:v>
                </c:pt>
                <c:pt idx="1">
                  <c:v>0.158</c:v>
                </c:pt>
                <c:pt idx="2">
                  <c:v>0.158</c:v>
                </c:pt>
                <c:pt idx="3">
                  <c:v>0.158</c:v>
                </c:pt>
                <c:pt idx="4">
                  <c:v>0.158</c:v>
                </c:pt>
                <c:pt idx="5">
                  <c:v>0.158</c:v>
                </c:pt>
                <c:pt idx="6">
                  <c:v>0.903</c:v>
                </c:pt>
                <c:pt idx="7">
                  <c:v>0.953</c:v>
                </c:pt>
                <c:pt idx="8">
                  <c:v>0.233</c:v>
                </c:pt>
                <c:pt idx="9">
                  <c:v>0.233</c:v>
                </c:pt>
                <c:pt idx="10">
                  <c:v>0.283</c:v>
                </c:pt>
                <c:pt idx="11">
                  <c:v>0.233</c:v>
                </c:pt>
                <c:pt idx="12">
                  <c:v>0.233</c:v>
                </c:pt>
                <c:pt idx="13">
                  <c:v>0.233</c:v>
                </c:pt>
                <c:pt idx="14">
                  <c:v>0.233</c:v>
                </c:pt>
                <c:pt idx="15">
                  <c:v>0.233</c:v>
                </c:pt>
                <c:pt idx="16">
                  <c:v>0.423</c:v>
                </c:pt>
                <c:pt idx="17">
                  <c:v>0.483</c:v>
                </c:pt>
                <c:pt idx="18">
                  <c:v>1.943</c:v>
                </c:pt>
                <c:pt idx="19">
                  <c:v>1.843</c:v>
                </c:pt>
                <c:pt idx="20">
                  <c:v>1.083</c:v>
                </c:pt>
                <c:pt idx="21">
                  <c:v>1.633</c:v>
                </c:pt>
                <c:pt idx="22">
                  <c:v>1.293</c:v>
                </c:pt>
                <c:pt idx="23">
                  <c:v>0.513</c:v>
                </c:pt>
              </c:numCache>
            </c:numRef>
          </c:val>
          <c:smooth val="0"/>
        </c:ser>
        <c:ser>
          <c:idx val="1"/>
          <c:order val="1"/>
          <c:tx>
            <c:v>봄가을_주말</c:v>
          </c:tx>
          <c:cat>
            <c:numRef>
              <c:f>Curve_Data_값!$A$2:$A$25</c:f>
              <c:numCache>
                <c:formatCode>0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Curve_Data_값!$C$2:$C$25</c:f>
              <c:numCache>
                <c:formatCode>0.00_);[Red]\(0.00\)</c:formatCode>
                <c:ptCount val="24"/>
                <c:pt idx="0">
                  <c:v>0.158</c:v>
                </c:pt>
                <c:pt idx="1">
                  <c:v>0.158</c:v>
                </c:pt>
                <c:pt idx="2">
                  <c:v>0.158</c:v>
                </c:pt>
                <c:pt idx="3">
                  <c:v>0.158</c:v>
                </c:pt>
                <c:pt idx="4">
                  <c:v>0.158</c:v>
                </c:pt>
                <c:pt idx="5">
                  <c:v>0.158</c:v>
                </c:pt>
                <c:pt idx="6">
                  <c:v>0.203</c:v>
                </c:pt>
                <c:pt idx="7">
                  <c:v>0.203</c:v>
                </c:pt>
                <c:pt idx="8">
                  <c:v>0.703</c:v>
                </c:pt>
                <c:pt idx="9">
                  <c:v>1.733</c:v>
                </c:pt>
                <c:pt idx="10">
                  <c:v>0.973</c:v>
                </c:pt>
                <c:pt idx="11">
                  <c:v>1.373</c:v>
                </c:pt>
                <c:pt idx="12">
                  <c:v>1.983</c:v>
                </c:pt>
                <c:pt idx="13">
                  <c:v>1.703</c:v>
                </c:pt>
                <c:pt idx="14">
                  <c:v>0.573</c:v>
                </c:pt>
                <c:pt idx="15">
                  <c:v>0.923</c:v>
                </c:pt>
                <c:pt idx="16">
                  <c:v>1.373</c:v>
                </c:pt>
                <c:pt idx="17">
                  <c:v>1.473</c:v>
                </c:pt>
                <c:pt idx="18">
                  <c:v>2.933</c:v>
                </c:pt>
                <c:pt idx="19">
                  <c:v>2.213</c:v>
                </c:pt>
                <c:pt idx="20">
                  <c:v>1.703</c:v>
                </c:pt>
                <c:pt idx="21">
                  <c:v>1.823</c:v>
                </c:pt>
                <c:pt idx="22">
                  <c:v>0.923</c:v>
                </c:pt>
                <c:pt idx="23">
                  <c:v>0.323</c:v>
                </c:pt>
              </c:numCache>
            </c:numRef>
          </c:val>
          <c:smooth val="0"/>
        </c:ser>
        <c:ser>
          <c:idx val="2"/>
          <c:order val="2"/>
          <c:tx>
            <c:v>여름_주중</c:v>
          </c:tx>
          <c:cat>
            <c:numRef>
              <c:f>Curve_Data_값!$A$2:$A$25</c:f>
              <c:numCache>
                <c:formatCode>0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Curve_Data_값!$D$2:$D$25</c:f>
              <c:numCache>
                <c:formatCode>0.00_);[Red]\(0.00\)</c:formatCode>
                <c:ptCount val="24"/>
                <c:pt idx="0">
                  <c:v>0.878</c:v>
                </c:pt>
                <c:pt idx="1">
                  <c:v>0.578</c:v>
                </c:pt>
                <c:pt idx="2">
                  <c:v>0.578</c:v>
                </c:pt>
                <c:pt idx="3">
                  <c:v>0.578</c:v>
                </c:pt>
                <c:pt idx="4">
                  <c:v>0.578</c:v>
                </c:pt>
                <c:pt idx="5">
                  <c:v>0.578</c:v>
                </c:pt>
                <c:pt idx="6">
                  <c:v>1.043</c:v>
                </c:pt>
                <c:pt idx="7">
                  <c:v>0.943</c:v>
                </c:pt>
                <c:pt idx="8">
                  <c:v>0.223</c:v>
                </c:pt>
                <c:pt idx="9">
                  <c:v>0.223</c:v>
                </c:pt>
                <c:pt idx="10">
                  <c:v>0.393</c:v>
                </c:pt>
                <c:pt idx="11">
                  <c:v>0.343</c:v>
                </c:pt>
                <c:pt idx="12">
                  <c:v>0.343</c:v>
                </c:pt>
                <c:pt idx="13">
                  <c:v>0.223</c:v>
                </c:pt>
                <c:pt idx="14">
                  <c:v>0.223</c:v>
                </c:pt>
                <c:pt idx="15">
                  <c:v>0.223</c:v>
                </c:pt>
                <c:pt idx="16">
                  <c:v>0.413</c:v>
                </c:pt>
                <c:pt idx="17">
                  <c:v>0.473</c:v>
                </c:pt>
                <c:pt idx="18">
                  <c:v>2.608</c:v>
                </c:pt>
                <c:pt idx="19">
                  <c:v>2.808</c:v>
                </c:pt>
                <c:pt idx="20">
                  <c:v>2.048</c:v>
                </c:pt>
                <c:pt idx="21">
                  <c:v>2.598</c:v>
                </c:pt>
                <c:pt idx="22">
                  <c:v>2.608</c:v>
                </c:pt>
                <c:pt idx="23">
                  <c:v>1.578</c:v>
                </c:pt>
              </c:numCache>
            </c:numRef>
          </c:val>
          <c:smooth val="0"/>
        </c:ser>
        <c:ser>
          <c:idx val="3"/>
          <c:order val="3"/>
          <c:tx>
            <c:v>여름_주말</c:v>
          </c:tx>
          <c:cat>
            <c:numRef>
              <c:f>Curve_Data_값!$A$2:$A$25</c:f>
              <c:numCache>
                <c:formatCode>0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Curve_Data_값!$E$2:$E$25</c:f>
              <c:numCache>
                <c:formatCode>0.00_);[Red]\(0.00\)</c:formatCode>
                <c:ptCount val="24"/>
                <c:pt idx="0">
                  <c:v>0.878</c:v>
                </c:pt>
                <c:pt idx="1">
                  <c:v>0.578</c:v>
                </c:pt>
                <c:pt idx="2">
                  <c:v>0.578</c:v>
                </c:pt>
                <c:pt idx="3">
                  <c:v>0.578</c:v>
                </c:pt>
                <c:pt idx="4">
                  <c:v>0.578</c:v>
                </c:pt>
                <c:pt idx="5">
                  <c:v>0.578</c:v>
                </c:pt>
                <c:pt idx="6">
                  <c:v>0.603</c:v>
                </c:pt>
                <c:pt idx="7">
                  <c:v>0.193</c:v>
                </c:pt>
                <c:pt idx="8">
                  <c:v>0.693</c:v>
                </c:pt>
                <c:pt idx="9">
                  <c:v>1.723</c:v>
                </c:pt>
                <c:pt idx="10">
                  <c:v>1.023</c:v>
                </c:pt>
                <c:pt idx="11">
                  <c:v>2.073</c:v>
                </c:pt>
                <c:pt idx="12">
                  <c:v>3.033</c:v>
                </c:pt>
                <c:pt idx="13">
                  <c:v>2.753</c:v>
                </c:pt>
                <c:pt idx="14">
                  <c:v>1.623</c:v>
                </c:pt>
                <c:pt idx="15">
                  <c:v>1.773</c:v>
                </c:pt>
                <c:pt idx="16">
                  <c:v>2.223</c:v>
                </c:pt>
                <c:pt idx="17">
                  <c:v>2.323</c:v>
                </c:pt>
                <c:pt idx="18">
                  <c:v>4.018</c:v>
                </c:pt>
                <c:pt idx="19">
                  <c:v>3.178</c:v>
                </c:pt>
                <c:pt idx="20">
                  <c:v>2.668</c:v>
                </c:pt>
                <c:pt idx="21">
                  <c:v>2.788</c:v>
                </c:pt>
                <c:pt idx="22">
                  <c:v>2.238</c:v>
                </c:pt>
                <c:pt idx="23">
                  <c:v>1.388</c:v>
                </c:pt>
              </c:numCache>
            </c:numRef>
          </c:val>
          <c:smooth val="0"/>
        </c:ser>
        <c:ser>
          <c:idx val="4"/>
          <c:order val="4"/>
          <c:tx>
            <c:v>겨울_주중</c:v>
          </c:tx>
          <c:cat>
            <c:numRef>
              <c:f>Curve_Data_값!$A$2:$A$25</c:f>
              <c:numCache>
                <c:formatCode>0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Curve_Data_값!$F$2:$F$25</c:f>
              <c:numCache>
                <c:formatCode>0.00_);[Red]\(0.00\)</c:formatCode>
                <c:ptCount val="24"/>
                <c:pt idx="0">
                  <c:v>0.668</c:v>
                </c:pt>
                <c:pt idx="1">
                  <c:v>0.378</c:v>
                </c:pt>
                <c:pt idx="2">
                  <c:v>0.378</c:v>
                </c:pt>
                <c:pt idx="3">
                  <c:v>0.378</c:v>
                </c:pt>
                <c:pt idx="4">
                  <c:v>0.378</c:v>
                </c:pt>
                <c:pt idx="5">
                  <c:v>0.428</c:v>
                </c:pt>
                <c:pt idx="6">
                  <c:v>2.078</c:v>
                </c:pt>
                <c:pt idx="7">
                  <c:v>2.198</c:v>
                </c:pt>
                <c:pt idx="8">
                  <c:v>0.578</c:v>
                </c:pt>
                <c:pt idx="9">
                  <c:v>0.228</c:v>
                </c:pt>
                <c:pt idx="10">
                  <c:v>0.278</c:v>
                </c:pt>
                <c:pt idx="11">
                  <c:v>0.228</c:v>
                </c:pt>
                <c:pt idx="12">
                  <c:v>0.228</c:v>
                </c:pt>
                <c:pt idx="13">
                  <c:v>0.228</c:v>
                </c:pt>
                <c:pt idx="14">
                  <c:v>0.228</c:v>
                </c:pt>
                <c:pt idx="15">
                  <c:v>0.228</c:v>
                </c:pt>
                <c:pt idx="16">
                  <c:v>0.418</c:v>
                </c:pt>
                <c:pt idx="17">
                  <c:v>0.948</c:v>
                </c:pt>
                <c:pt idx="18">
                  <c:v>2.868</c:v>
                </c:pt>
                <c:pt idx="19">
                  <c:v>2.728</c:v>
                </c:pt>
                <c:pt idx="20">
                  <c:v>2.218</c:v>
                </c:pt>
                <c:pt idx="21">
                  <c:v>2.828</c:v>
                </c:pt>
                <c:pt idx="22">
                  <c:v>2.768</c:v>
                </c:pt>
                <c:pt idx="23">
                  <c:v>1.308</c:v>
                </c:pt>
              </c:numCache>
            </c:numRef>
          </c:val>
          <c:smooth val="0"/>
        </c:ser>
        <c:ser>
          <c:idx val="5"/>
          <c:order val="5"/>
          <c:tx>
            <c:v>겨울_주말</c:v>
          </c:tx>
          <c:cat>
            <c:numRef>
              <c:f>Curve_Data_값!$A$2:$A$25</c:f>
              <c:numCache>
                <c:formatCode>0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Curve_Data_값!$G$2:$G$25</c:f>
              <c:numCache>
                <c:formatCode>0.00_);[Red]\(0.00\)</c:formatCode>
                <c:ptCount val="24"/>
                <c:pt idx="0">
                  <c:v>0.668</c:v>
                </c:pt>
                <c:pt idx="1">
                  <c:v>0.378</c:v>
                </c:pt>
                <c:pt idx="2">
                  <c:v>0.378</c:v>
                </c:pt>
                <c:pt idx="3">
                  <c:v>0.378</c:v>
                </c:pt>
                <c:pt idx="4">
                  <c:v>0.378</c:v>
                </c:pt>
                <c:pt idx="5">
                  <c:v>0.378</c:v>
                </c:pt>
                <c:pt idx="6">
                  <c:v>0.418</c:v>
                </c:pt>
                <c:pt idx="7">
                  <c:v>1.088</c:v>
                </c:pt>
                <c:pt idx="8">
                  <c:v>1.608</c:v>
                </c:pt>
                <c:pt idx="9">
                  <c:v>2.808</c:v>
                </c:pt>
                <c:pt idx="10">
                  <c:v>1.468</c:v>
                </c:pt>
                <c:pt idx="11">
                  <c:v>1.868</c:v>
                </c:pt>
                <c:pt idx="12">
                  <c:v>2.478</c:v>
                </c:pt>
                <c:pt idx="13">
                  <c:v>2.198</c:v>
                </c:pt>
                <c:pt idx="14">
                  <c:v>1.068</c:v>
                </c:pt>
                <c:pt idx="15">
                  <c:v>1.418</c:v>
                </c:pt>
                <c:pt idx="16">
                  <c:v>1.968</c:v>
                </c:pt>
                <c:pt idx="17">
                  <c:v>2.458</c:v>
                </c:pt>
                <c:pt idx="18">
                  <c:v>3.858</c:v>
                </c:pt>
                <c:pt idx="19">
                  <c:v>3.078</c:v>
                </c:pt>
                <c:pt idx="20">
                  <c:v>2.768</c:v>
                </c:pt>
                <c:pt idx="21">
                  <c:v>2.948</c:v>
                </c:pt>
                <c:pt idx="22">
                  <c:v>2.348</c:v>
                </c:pt>
                <c:pt idx="23">
                  <c:v>1.108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1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_);[Red]\(0.00\)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t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plotArea>
      <c:layout/>
      <c:lineChart>
        <c:grouping val="standard"/>
        <c:varyColors val="0"/>
        <c:ser>
          <c:idx val="0"/>
          <c:order val="0"/>
          <c:spPr>
            <a:ln xmlns:a="http://schemas.openxmlformats.org/drawingml/2006/main" w="28575">
              <a:solidFill>
                <a:schemeClr val="accent1"/>
              </a:solidFill>
            </a:ln>
          </c:spPr>
          <c:marker>
            <c:symbol val="circle"/>
            <c:size val="5"/>
          </c:marker>
          <c:cat>
            <c:strLit>
              <c:ptCount val="0"/>
            </c:strLit>
          </c:cat>
          <c:val>
            <c:numRef>
              <c:f>Curve_Data_값!$H$2:$H$25</c:f>
              <c:numCache>
                <c:formatCode>0.00_);[Red]\(0.00\)</c:formatCode>
                <c:ptCount val="24"/>
                <c:pt idx="0">
                  <c:v>0.5680000000000001</c:v>
                </c:pt>
                <c:pt idx="1">
                  <c:v>0.37133333333333335</c:v>
                </c:pt>
                <c:pt idx="2">
                  <c:v>0.37133333333333335</c:v>
                </c:pt>
                <c:pt idx="3">
                  <c:v>0.37133333333333335</c:v>
                </c:pt>
                <c:pt idx="4">
                  <c:v>0.37133333333333335</c:v>
                </c:pt>
                <c:pt idx="5">
                  <c:v>0.37966666666666665</c:v>
                </c:pt>
                <c:pt idx="6">
                  <c:v>0.8746666666666667</c:v>
                </c:pt>
                <c:pt idx="7">
                  <c:v>0.9296666666666668</c:v>
                </c:pt>
                <c:pt idx="8">
                  <c:v>0.673</c:v>
                </c:pt>
                <c:pt idx="9">
                  <c:v>1.158</c:v>
                </c:pt>
                <c:pt idx="10">
                  <c:v>0.7363333333333332</c:v>
                </c:pt>
                <c:pt idx="11">
                  <c:v>1.0196666666666667</c:v>
                </c:pt>
                <c:pt idx="12">
                  <c:v>1.383</c:v>
                </c:pt>
                <c:pt idx="13">
                  <c:v>1.223</c:v>
                </c:pt>
                <c:pt idx="14">
                  <c:v>0.658</c:v>
                </c:pt>
                <c:pt idx="15">
                  <c:v>0.7996666666666666</c:v>
                </c:pt>
                <c:pt idx="16">
                  <c:v>1.1363333333333334</c:v>
                </c:pt>
                <c:pt idx="17">
                  <c:v>1.3596666666666666</c:v>
                </c:pt>
                <c:pt idx="18">
                  <c:v>3.038</c:v>
                </c:pt>
                <c:pt idx="19">
                  <c:v>2.6413333333333333</c:v>
                </c:pt>
                <c:pt idx="20">
                  <c:v>2.0813333333333333</c:v>
                </c:pt>
                <c:pt idx="21">
                  <c:v>2.4363333333333332</c:v>
                </c:pt>
                <c:pt idx="22">
                  <c:v>2.029666666666666</c:v>
                </c:pt>
                <c:pt idx="23">
                  <c:v>1.0363333333333333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12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KoPub바탕체 Light"/>
                <a:ea typeface="KoPub바탕체 Light"/>
                <a:cs typeface="KoPub바탕체 Light"/>
              </a:defRPr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0.00_);[Red]\(0.00\)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12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KoPub바탕체 Light"/>
                <a:ea typeface="KoPub바탕체 Light"/>
                <a:cs typeface="KoPub바탕체 Light"/>
              </a:defRPr>
            </a:pPr>
          </a:p>
        </c:txPr>
        <c:crossAx val="48650112"/>
        <c:crosses val="autoZero"/>
        <c:crossBetween val="between"/>
      </c:valAx>
    </c:plotArea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charts/chart3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plotArea>
      <c:layout/>
      <c:lineChart>
        <c:grouping val="standard"/>
        <c:varyColors val="0"/>
        <c:ser>
          <c:idx val="0"/>
          <c:order val="0"/>
          <c:tx>
            <c:strRef>
              <c:f>Curve_Data_값!$B$1</c:f>
              <c:strCache>
                <c:ptCount val="1"/>
                <c:pt idx="0">
                  <c:v>봄가을_주중</c:v>
                </c:pt>
              </c:strCache>
            </c:strRef>
          </c:tx>
          <c:spPr>
            <a:ln xmlns:a="http://schemas.openxmlformats.org/drawingml/2006/main" w="28575"/>
          </c:spPr>
          <c:marker>
            <c:symbol val="square"/>
            <c:size val="9"/>
          </c:marker>
          <c:cat>
            <c:numRef>
              <c:f>Curve_Data_값!$A$2:$A$25</c:f>
              <c:numCache>
                <c:formatCode>0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Curve_Data_값!$B$2:$B$25</c:f>
              <c:numCache>
                <c:formatCode>0.00_);[Red]\(0.00\)</c:formatCode>
                <c:ptCount val="24"/>
                <c:pt idx="0">
                  <c:v>0.158</c:v>
                </c:pt>
                <c:pt idx="1">
                  <c:v>0.158</c:v>
                </c:pt>
                <c:pt idx="2">
                  <c:v>0.158</c:v>
                </c:pt>
                <c:pt idx="3">
                  <c:v>0.158</c:v>
                </c:pt>
                <c:pt idx="4">
                  <c:v>0.158</c:v>
                </c:pt>
                <c:pt idx="5">
                  <c:v>0.158</c:v>
                </c:pt>
                <c:pt idx="6">
                  <c:v>0.903</c:v>
                </c:pt>
                <c:pt idx="7">
                  <c:v>0.953</c:v>
                </c:pt>
                <c:pt idx="8">
                  <c:v>0.233</c:v>
                </c:pt>
                <c:pt idx="9">
                  <c:v>0.233</c:v>
                </c:pt>
                <c:pt idx="10">
                  <c:v>0.283</c:v>
                </c:pt>
                <c:pt idx="11">
                  <c:v>0.233</c:v>
                </c:pt>
                <c:pt idx="12">
                  <c:v>0.233</c:v>
                </c:pt>
                <c:pt idx="13">
                  <c:v>0.233</c:v>
                </c:pt>
                <c:pt idx="14">
                  <c:v>0.233</c:v>
                </c:pt>
                <c:pt idx="15">
                  <c:v>0.233</c:v>
                </c:pt>
                <c:pt idx="16">
                  <c:v>0.423</c:v>
                </c:pt>
                <c:pt idx="17">
                  <c:v>0.483</c:v>
                </c:pt>
                <c:pt idx="18">
                  <c:v>1.943</c:v>
                </c:pt>
                <c:pt idx="19">
                  <c:v>1.843</c:v>
                </c:pt>
                <c:pt idx="20">
                  <c:v>1.083</c:v>
                </c:pt>
                <c:pt idx="21">
                  <c:v>1.633</c:v>
                </c:pt>
                <c:pt idx="22">
                  <c:v>1.293</c:v>
                </c:pt>
                <c:pt idx="23">
                  <c:v>0.513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Curve_Data_값!$C$1</c:f>
              <c:strCache>
                <c:ptCount val="1"/>
                <c:pt idx="0">
                  <c:v>봄가을_주말</c:v>
                </c:pt>
              </c:strCache>
            </c:strRef>
          </c:tx>
          <c:spPr>
            <a:ln xmlns:a="http://schemas.openxmlformats.org/drawingml/2006/main" w="28575">
              <a:solidFill>
                <a:schemeClr val="accent1"/>
              </a:solidFill>
            </a:ln>
          </c:spPr>
          <c:marker>
            <c:symbol val="circle"/>
            <c:size val="9"/>
          </c:marker>
          <c:cat>
            <c:numRef>
              <c:f>Curve_Data_값!$A$2:$A$25</c:f>
              <c:numCache>
                <c:formatCode>0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Curve_Data_값!$C$2:$C$25</c:f>
              <c:numCache>
                <c:formatCode>0.00_);[Red]\(0.00\)</c:formatCode>
                <c:ptCount val="24"/>
                <c:pt idx="0">
                  <c:v>0.158</c:v>
                </c:pt>
                <c:pt idx="1">
                  <c:v>0.158</c:v>
                </c:pt>
                <c:pt idx="2">
                  <c:v>0.158</c:v>
                </c:pt>
                <c:pt idx="3">
                  <c:v>0.158</c:v>
                </c:pt>
                <c:pt idx="4">
                  <c:v>0.158</c:v>
                </c:pt>
                <c:pt idx="5">
                  <c:v>0.158</c:v>
                </c:pt>
                <c:pt idx="6">
                  <c:v>0.203</c:v>
                </c:pt>
                <c:pt idx="7">
                  <c:v>0.203</c:v>
                </c:pt>
                <c:pt idx="8">
                  <c:v>0.703</c:v>
                </c:pt>
                <c:pt idx="9">
                  <c:v>1.733</c:v>
                </c:pt>
                <c:pt idx="10">
                  <c:v>0.973</c:v>
                </c:pt>
                <c:pt idx="11">
                  <c:v>1.373</c:v>
                </c:pt>
                <c:pt idx="12">
                  <c:v>1.983</c:v>
                </c:pt>
                <c:pt idx="13">
                  <c:v>1.703</c:v>
                </c:pt>
                <c:pt idx="14">
                  <c:v>0.573</c:v>
                </c:pt>
                <c:pt idx="15">
                  <c:v>0.923</c:v>
                </c:pt>
                <c:pt idx="16">
                  <c:v>1.373</c:v>
                </c:pt>
                <c:pt idx="17">
                  <c:v>1.473</c:v>
                </c:pt>
                <c:pt idx="18">
                  <c:v>2.933</c:v>
                </c:pt>
                <c:pt idx="19">
                  <c:v>2.213</c:v>
                </c:pt>
                <c:pt idx="20">
                  <c:v>1.703</c:v>
                </c:pt>
                <c:pt idx="21">
                  <c:v>1.823</c:v>
                </c:pt>
                <c:pt idx="22">
                  <c:v>0.923</c:v>
                </c:pt>
                <c:pt idx="23">
                  <c:v>0.323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12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KoPub바탕체 Light"/>
                <a:ea typeface="KoPub바탕체 Light"/>
                <a:cs typeface="KoPub바탕체 Light"/>
              </a:defRPr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  <c:max val="4.5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0.00_);[Red]\(0.00\)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12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KoPub바탕체 Light"/>
                <a:ea typeface="KoPub바탕체 Light"/>
                <a:cs typeface="KoPub바탕체 Light"/>
              </a:defRPr>
            </a:pPr>
          </a:p>
        </c:txPr>
        <c:crossAx val="48650112"/>
        <c:crosses val="autoZero"/>
        <c:crossBetween val="between"/>
      </c:valAx>
    </c:plotArea>
    <c:legend>
      <c:legendPos val="t"/>
      <c:overlay val="0"/>
    </c:legend>
    <c:plotVisOnly val="1"/>
  </c:chart>
</c:chartSpace>
</file>

<file path=xl/drawings/charts/chart4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plotArea>
      <c:layout/>
      <c:lineChart>
        <c:grouping val="standard"/>
        <c:varyColors val="0"/>
        <c:ser>
          <c:idx val="0"/>
          <c:order val="0"/>
          <c:tx>
            <c:strRef>
              <c:f>Curve_Data_값!$D$1</c:f>
              <c:strCache>
                <c:ptCount val="1"/>
                <c:pt idx="0">
                  <c:v>여름_주중</c:v>
                </c:pt>
              </c:strCache>
            </c:strRef>
          </c:tx>
          <c:spPr>
            <a:ln xmlns:a="http://schemas.openxmlformats.org/drawingml/2006/main" w="28575"/>
          </c:spPr>
          <c:marker>
            <c:symbol val="square"/>
            <c:size val="9"/>
          </c:marker>
          <c:cat>
            <c:numRef>
              <c:f>Curve_Data_값!$A$2:$A$25</c:f>
              <c:numCache>
                <c:formatCode>0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Curve_Data_값!$D$2:$D$25</c:f>
              <c:numCache>
                <c:formatCode>0.00_);[Red]\(0.00\)</c:formatCode>
                <c:ptCount val="24"/>
                <c:pt idx="0">
                  <c:v>0.878</c:v>
                </c:pt>
                <c:pt idx="1">
                  <c:v>0.578</c:v>
                </c:pt>
                <c:pt idx="2">
                  <c:v>0.578</c:v>
                </c:pt>
                <c:pt idx="3">
                  <c:v>0.578</c:v>
                </c:pt>
                <c:pt idx="4">
                  <c:v>0.578</c:v>
                </c:pt>
                <c:pt idx="5">
                  <c:v>0.578</c:v>
                </c:pt>
                <c:pt idx="6">
                  <c:v>1.043</c:v>
                </c:pt>
                <c:pt idx="7">
                  <c:v>0.943</c:v>
                </c:pt>
                <c:pt idx="8">
                  <c:v>0.223</c:v>
                </c:pt>
                <c:pt idx="9">
                  <c:v>0.223</c:v>
                </c:pt>
                <c:pt idx="10">
                  <c:v>0.393</c:v>
                </c:pt>
                <c:pt idx="11">
                  <c:v>0.343</c:v>
                </c:pt>
                <c:pt idx="12">
                  <c:v>0.343</c:v>
                </c:pt>
                <c:pt idx="13">
                  <c:v>0.223</c:v>
                </c:pt>
                <c:pt idx="14">
                  <c:v>0.223</c:v>
                </c:pt>
                <c:pt idx="15">
                  <c:v>0.223</c:v>
                </c:pt>
                <c:pt idx="16">
                  <c:v>0.413</c:v>
                </c:pt>
                <c:pt idx="17">
                  <c:v>0.473</c:v>
                </c:pt>
                <c:pt idx="18">
                  <c:v>2.608</c:v>
                </c:pt>
                <c:pt idx="19">
                  <c:v>2.808</c:v>
                </c:pt>
                <c:pt idx="20">
                  <c:v>2.048</c:v>
                </c:pt>
                <c:pt idx="21">
                  <c:v>2.598</c:v>
                </c:pt>
                <c:pt idx="22">
                  <c:v>2.608</c:v>
                </c:pt>
                <c:pt idx="23">
                  <c:v>1.578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Curve_Data_값!$E$1</c:f>
              <c:strCache>
                <c:ptCount val="1"/>
                <c:pt idx="0">
                  <c:v>여름_주말</c:v>
                </c:pt>
              </c:strCache>
            </c:strRef>
          </c:tx>
          <c:spPr>
            <a:ln xmlns:a="http://schemas.openxmlformats.org/drawingml/2006/main" w="28575">
              <a:solidFill>
                <a:schemeClr val="accent1"/>
              </a:solidFill>
            </a:ln>
          </c:spPr>
          <c:marker>
            <c:symbol val="circle"/>
            <c:size val="9"/>
          </c:marker>
          <c:cat>
            <c:numRef>
              <c:f>Curve_Data_값!$A$2:$A$25</c:f>
              <c:numCache>
                <c:formatCode>0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Curve_Data_값!$E$2:$E$25</c:f>
              <c:numCache>
                <c:formatCode>0.00_);[Red]\(0.00\)</c:formatCode>
                <c:ptCount val="24"/>
                <c:pt idx="0">
                  <c:v>0.878</c:v>
                </c:pt>
                <c:pt idx="1">
                  <c:v>0.578</c:v>
                </c:pt>
                <c:pt idx="2">
                  <c:v>0.578</c:v>
                </c:pt>
                <c:pt idx="3">
                  <c:v>0.578</c:v>
                </c:pt>
                <c:pt idx="4">
                  <c:v>0.578</c:v>
                </c:pt>
                <c:pt idx="5">
                  <c:v>0.578</c:v>
                </c:pt>
                <c:pt idx="6">
                  <c:v>0.603</c:v>
                </c:pt>
                <c:pt idx="7">
                  <c:v>0.193</c:v>
                </c:pt>
                <c:pt idx="8">
                  <c:v>0.693</c:v>
                </c:pt>
                <c:pt idx="9">
                  <c:v>1.723</c:v>
                </c:pt>
                <c:pt idx="10">
                  <c:v>1.023</c:v>
                </c:pt>
                <c:pt idx="11">
                  <c:v>2.073</c:v>
                </c:pt>
                <c:pt idx="12">
                  <c:v>3.033</c:v>
                </c:pt>
                <c:pt idx="13">
                  <c:v>2.753</c:v>
                </c:pt>
                <c:pt idx="14">
                  <c:v>1.623</c:v>
                </c:pt>
                <c:pt idx="15">
                  <c:v>1.773</c:v>
                </c:pt>
                <c:pt idx="16">
                  <c:v>2.223</c:v>
                </c:pt>
                <c:pt idx="17">
                  <c:v>2.323</c:v>
                </c:pt>
                <c:pt idx="18">
                  <c:v>4.018</c:v>
                </c:pt>
                <c:pt idx="19">
                  <c:v>3.178</c:v>
                </c:pt>
                <c:pt idx="20">
                  <c:v>2.668</c:v>
                </c:pt>
                <c:pt idx="21">
                  <c:v>2.788</c:v>
                </c:pt>
                <c:pt idx="22">
                  <c:v>2.238</c:v>
                </c:pt>
                <c:pt idx="23">
                  <c:v>1.388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12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KoPub바탕체 Light"/>
                <a:ea typeface="KoPub바탕체 Light"/>
                <a:cs typeface="KoPub바탕체 Light"/>
              </a:defRPr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  <c:max val="4.5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0.00_);[Red]\(0.00\)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12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KoPub바탕체 Light"/>
                <a:ea typeface="KoPub바탕체 Light"/>
                <a:cs typeface="KoPub바탕체 Light"/>
              </a:defRPr>
            </a:pPr>
          </a:p>
        </c:txPr>
        <c:crossAx val="48650112"/>
        <c:crosses val="autoZero"/>
        <c:crossBetween val="between"/>
      </c:valAx>
    </c:plotArea>
    <c:legend>
      <c:legendPos val="t"/>
      <c:overlay val="0"/>
    </c:legend>
    <c:plotVisOnly val="1"/>
  </c:chart>
</c:chartSpace>
</file>

<file path=xl/drawings/charts/chart5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plotArea>
      <c:layout/>
      <c:lineChart>
        <c:grouping val="standard"/>
        <c:varyColors val="0"/>
        <c:ser>
          <c:idx val="0"/>
          <c:order val="0"/>
          <c:tx>
            <c:strRef>
              <c:f>Curve_Data_값!$F$1</c:f>
              <c:strCache>
                <c:ptCount val="1"/>
                <c:pt idx="0">
                  <c:v>겨울_주중</c:v>
                </c:pt>
              </c:strCache>
            </c:strRef>
          </c:tx>
          <c:spPr>
            <a:ln xmlns:a="http://schemas.openxmlformats.org/drawingml/2006/main" w="28575"/>
          </c:spPr>
          <c:marker>
            <c:symbol val="square"/>
            <c:size val="9"/>
          </c:marker>
          <c:cat>
            <c:numRef>
              <c:f>Curve_Data_값!$A$2:$A$25</c:f>
              <c:numCache>
                <c:formatCode>0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Curve_Data_값!$F$2:$F$25</c:f>
              <c:numCache>
                <c:formatCode>0.00_);[Red]\(0.00\)</c:formatCode>
                <c:ptCount val="24"/>
                <c:pt idx="0">
                  <c:v>0.668</c:v>
                </c:pt>
                <c:pt idx="1">
                  <c:v>0.378</c:v>
                </c:pt>
                <c:pt idx="2">
                  <c:v>0.378</c:v>
                </c:pt>
                <c:pt idx="3">
                  <c:v>0.378</c:v>
                </c:pt>
                <c:pt idx="4">
                  <c:v>0.378</c:v>
                </c:pt>
                <c:pt idx="5">
                  <c:v>0.428</c:v>
                </c:pt>
                <c:pt idx="6">
                  <c:v>2.078</c:v>
                </c:pt>
                <c:pt idx="7">
                  <c:v>2.198</c:v>
                </c:pt>
                <c:pt idx="8">
                  <c:v>0.578</c:v>
                </c:pt>
                <c:pt idx="9">
                  <c:v>0.228</c:v>
                </c:pt>
                <c:pt idx="10">
                  <c:v>0.278</c:v>
                </c:pt>
                <c:pt idx="11">
                  <c:v>0.228</c:v>
                </c:pt>
                <c:pt idx="12">
                  <c:v>0.228</c:v>
                </c:pt>
                <c:pt idx="13">
                  <c:v>0.228</c:v>
                </c:pt>
                <c:pt idx="14">
                  <c:v>0.228</c:v>
                </c:pt>
                <c:pt idx="15">
                  <c:v>0.228</c:v>
                </c:pt>
                <c:pt idx="16">
                  <c:v>0.418</c:v>
                </c:pt>
                <c:pt idx="17">
                  <c:v>0.948</c:v>
                </c:pt>
                <c:pt idx="18">
                  <c:v>2.868</c:v>
                </c:pt>
                <c:pt idx="19">
                  <c:v>2.728</c:v>
                </c:pt>
                <c:pt idx="20">
                  <c:v>2.218</c:v>
                </c:pt>
                <c:pt idx="21">
                  <c:v>2.828</c:v>
                </c:pt>
                <c:pt idx="22">
                  <c:v>2.768</c:v>
                </c:pt>
                <c:pt idx="23">
                  <c:v>1.308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Curve_Data_값!$G$1</c:f>
              <c:strCache>
                <c:ptCount val="1"/>
                <c:pt idx="0">
                  <c:v>겨울_주말</c:v>
                </c:pt>
              </c:strCache>
            </c:strRef>
          </c:tx>
          <c:spPr>
            <a:ln xmlns:a="http://schemas.openxmlformats.org/drawingml/2006/main" w="28575">
              <a:solidFill>
                <a:schemeClr val="accent1"/>
              </a:solidFill>
            </a:ln>
          </c:spPr>
          <c:marker>
            <c:symbol val="circle"/>
            <c:size val="9"/>
          </c:marker>
          <c:cat>
            <c:numRef>
              <c:f>Curve_Data_값!$A$2:$A$25</c:f>
              <c:numCache>
                <c:formatCode>0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Curve_Data_값!$G$2:$G$25</c:f>
              <c:numCache>
                <c:formatCode>0.00_);[Red]\(0.00\)</c:formatCode>
                <c:ptCount val="24"/>
                <c:pt idx="0">
                  <c:v>0.668</c:v>
                </c:pt>
                <c:pt idx="1">
                  <c:v>0.378</c:v>
                </c:pt>
                <c:pt idx="2">
                  <c:v>0.378</c:v>
                </c:pt>
                <c:pt idx="3">
                  <c:v>0.378</c:v>
                </c:pt>
                <c:pt idx="4">
                  <c:v>0.378</c:v>
                </c:pt>
                <c:pt idx="5">
                  <c:v>0.378</c:v>
                </c:pt>
                <c:pt idx="6">
                  <c:v>0.418</c:v>
                </c:pt>
                <c:pt idx="7">
                  <c:v>1.088</c:v>
                </c:pt>
                <c:pt idx="8">
                  <c:v>1.608</c:v>
                </c:pt>
                <c:pt idx="9">
                  <c:v>2.808</c:v>
                </c:pt>
                <c:pt idx="10">
                  <c:v>1.468</c:v>
                </c:pt>
                <c:pt idx="11">
                  <c:v>1.868</c:v>
                </c:pt>
                <c:pt idx="12">
                  <c:v>2.478</c:v>
                </c:pt>
                <c:pt idx="13">
                  <c:v>2.198</c:v>
                </c:pt>
                <c:pt idx="14">
                  <c:v>1.068</c:v>
                </c:pt>
                <c:pt idx="15">
                  <c:v>1.418</c:v>
                </c:pt>
                <c:pt idx="16">
                  <c:v>1.968</c:v>
                </c:pt>
                <c:pt idx="17">
                  <c:v>2.458</c:v>
                </c:pt>
                <c:pt idx="18">
                  <c:v>3.858</c:v>
                </c:pt>
                <c:pt idx="19">
                  <c:v>3.078</c:v>
                </c:pt>
                <c:pt idx="20">
                  <c:v>2.768</c:v>
                </c:pt>
                <c:pt idx="21">
                  <c:v>2.948</c:v>
                </c:pt>
                <c:pt idx="22">
                  <c:v>2.348</c:v>
                </c:pt>
                <c:pt idx="23">
                  <c:v>1.108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12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KoPub바탕체 Light"/>
                <a:ea typeface="KoPub바탕체 Light"/>
                <a:cs typeface="KoPub바탕체 Light"/>
              </a:defRPr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  <c:max val="4.5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0.00_);[Red]\(0.00\)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12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KoPub바탕체 Light"/>
                <a:ea typeface="KoPub바탕체 Light"/>
                <a:cs typeface="KoPub바탕체 Light"/>
              </a:defRPr>
            </a:pPr>
          </a:p>
        </c:txPr>
        <c:crossAx val="48650112"/>
        <c:crosses val="autoZero"/>
        <c:crossBetween val="between"/>
      </c:valAx>
    </c:plotArea>
    <c:legend>
      <c:legendPos val="t"/>
      <c:overlay val="0"/>
    </c:legend>
    <c:plotVisOnly val="1"/>
  </c:chart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27</xdr:row>
      <xdr:rowOff>0</xdr:rowOff>
    </xdr:from>
    <xdr:to>
      <xdr:col>8</xdr:col>
      <xdr:colOff>0</xdr:colOff>
      <xdr:row>49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2972a7d1dff4bcc"/>
        </a:graphicData>
      </a:graphic>
    </xdr:graphicFrame>
    <xdr:clientData/>
  </xdr:twoCellAnchor>
  <xdr:twoCellAnchor>
    <xdr:from>
      <xdr:col>0</xdr:col>
      <xdr:colOff>0</xdr:colOff>
      <xdr:row>50</xdr:row>
      <xdr:rowOff>0</xdr:rowOff>
    </xdr:from>
    <xdr:to>
      <xdr:col>8</xdr:col>
      <xdr:colOff>0</xdr:colOff>
      <xdr:row>72</xdr:row>
      <xdr:rowOff>1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e12558751424a95"/>
        </a:graphicData>
      </a:graphic>
    </xdr:graphicFrame>
    <xdr:clientData/>
  </xdr:twoCellAnchor>
  <xdr:twoCellAnchor>
    <xdr:from>
      <xdr:col>9</xdr:col>
      <xdr:colOff>0</xdr:colOff>
      <xdr:row>2</xdr:row>
      <xdr:rowOff>0</xdr:rowOff>
    </xdr:from>
    <xdr:to>
      <xdr:col>18</xdr:col>
      <xdr:colOff>0</xdr:colOff>
      <xdr:row>22</xdr:row>
      <xdr:rowOff>134471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b991fca3df048b7"/>
        </a:graphicData>
      </a:graphic>
    </xdr:graphicFrame>
    <xdr:clientData/>
  </xdr:twoCellAnchor>
  <xdr:twoCellAnchor>
    <xdr:from>
      <xdr:col>18</xdr:col>
      <xdr:colOff>0</xdr:colOff>
      <xdr:row>2</xdr:row>
      <xdr:rowOff>0</xdr:rowOff>
    </xdr:from>
    <xdr:to>
      <xdr:col>26</xdr:col>
      <xdr:colOff>680356</xdr:colOff>
      <xdr:row>22</xdr:row>
      <xdr:rowOff>134471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87116e8c0af41f9"/>
        </a:graphicData>
      </a:graphic>
    </xdr:graphicFrame>
    <xdr:clientData/>
  </xdr:twoCellAnchor>
  <xdr:twoCellAnchor>
    <xdr:from>
      <xdr:col>27</xdr:col>
      <xdr:colOff>0</xdr:colOff>
      <xdr:row>2</xdr:row>
      <xdr:rowOff>0</xdr:rowOff>
    </xdr:from>
    <xdr:to>
      <xdr:col>35</xdr:col>
      <xdr:colOff>680356</xdr:colOff>
      <xdr:row>22</xdr:row>
      <xdr:rowOff>134471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a7e136b9e9244e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2" name="T_5_13" displayName="T_5_13" ref="A1:AT25">
  <x:tableColumns count="46">
    <x:tableColumn id="1" name="시간"/>
    <x:tableColumn id="2" name="시간대"/>
    <x:tableColumn id="3" name="냉장고"/>
    <x:tableColumn id="4" name="김치냉장고"/>
    <x:tableColumn id="5" name="냉동고"/>
    <x:tableColumn id="6" name="정수기"/>
    <x:tableColumn id="7" name="공유기·모뎀"/>
    <x:tableColumn id="8" name="스마트홈·CCTV"/>
    <x:tableColumn id="9" name="대기전력·충전대기"/>
    <x:tableColumn id="10" name="비데"/>
    <x:tableColumn id="11" name="공기청정기"/>
    <x:tableColumn id="12" name="환기장치·욕실팬"/>
    <x:tableColumn id="13" name="LED조명"/>
    <x:tableColumn id="14" name="TV"/>
    <x:tableColumn id="15" name="셋톱박스·사운드바"/>
    <x:tableColumn id="16" name="데스크톱·모니터"/>
    <x:tableColumn id="17" name="노트북·태블릿·휴대폰충전"/>
    <x:tableColumn id="18" name="게임콘솔"/>
    <x:tableColumn id="19" name="전기밥솥_취사"/>
    <x:tableColumn id="20" name="전기밥솥_보온"/>
    <x:tableColumn id="21" name="인덕션·전기레인지"/>
    <x:tableColumn id="22" name="전자레인지"/>
    <x:tableColumn id="23" name="오븐·에어프라이어"/>
    <x:tableColumn id="24" name="전기주전자·커피머신"/>
    <x:tableColumn id="25" name="식기세척기"/>
    <x:tableColumn id="26" name="음식물처리기"/>
    <x:tableColumn id="27" name="세탁기"/>
    <x:tableColumn id="28" name="의류건조기"/>
    <x:tableColumn id="29" name="의류관리기"/>
    <x:tableColumn id="30" name="로봇청소기"/>
    <x:tableColumn id="31" name="무선청소기·충전"/>
    <x:tableColumn id="32" name="다리미·스팀다리미"/>
    <x:tableColumn id="33" name="헤어드라이어"/>
    <x:tableColumn id="34" name="에어컨_거실"/>
    <x:tableColumn id="35" name="에어컨_침실"/>
    <x:tableColumn id="36" name="선풍기·서큘레이터"/>
    <x:tableColumn id="37" name="제습기"/>
    <x:tableColumn id="38" name="히트펌프난방"/>
    <x:tableColumn id="39" name="전기장판·온수매트"/>
    <x:tableColumn id="40" name="전기히터·온풍기"/>
    <x:tableColumn id="41" name="가습기"/>
    <x:tableColumn id="42" name="보일러순환펌프"/>
    <x:tableColumn id="43" name="욕실난방기"/>
    <x:tableColumn id="45" name="시간별전력량(kWh)"/>
    <x:tableColumn id="46" name="누적전력량(kWh)"/>
    <x:tableColumn id="47" name="주요 사용 가전(0.02kW 초과)"/>
  </x:tableColumns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.xml" Id="Rdf9a6e653ad3419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1.xml" Id="R6dd189d12e0a462c" /></Relationships>
</file>

<file path=xl/worksheets/sheet1.xml><?xml version="1.0" encoding="utf-8"?>
<x:worksheet xmlns:x="http://schemas.openxmlformats.org/spreadsheetml/2006/main">
  <x:sheetFormatPr defaultRowHeight="14.25"/>
  <x:cols>
    <x:col min="1" max="1" width="20" customWidth="1"/>
    <x:col min="2" max="2" width="114.125" customWidth="1"/>
    <x:col min="3" max="3" width="55" customWidth="1"/>
    <x:col min="4" max="4" width="55.25" customWidth="1"/>
  </x:cols>
  <x:sheetData>
    <x:row r="1" ht="15">
      <x:c r="A1" s="5" t="s">
        <x:v>0</x:v>
      </x:c>
      <x:c r="B1" s="5" t="s">
        <x:v>1</x:v>
      </x:c>
      <x:c r="C1" s="5" t="s">
        <x:v>2</x:v>
      </x:c>
      <x:c r="D1" s="5" t="s">
        <x:v>3</x:v>
      </x:c>
    </x:row>
    <x:row r="2" ht="15">
      <x:c r="A2" s="4" t="s">
        <x:v>4</x:v>
      </x:c>
      <x:c r="B2" s="4" t="s">
        <x:v>5</x:v>
      </x:c>
      <x:c r="C2" s="4" t="s">
        <x:v>6</x:v>
      </x:c>
      <x:c r="D2" s="4" t="s">
        <x:v>7</x:v>
      </x:c>
    </x:row>
    <x:row r="3" ht="15">
      <x:c r="A3" s="4" t="s">
        <x:v>8</x:v>
      </x:c>
      <x:c r="B3" s="4" t="s">
        <x:v>9</x:v>
      </x:c>
      <x:c r="C3" s="4" t="s">
        <x:v>10</x:v>
      </x:c>
      <x:c r="D3" s="4" t="s">
        <x:v>11</x:v>
      </x:c>
    </x:row>
    <x:row r="4" ht="15">
      <x:c r="A4" s="4" t="s">
        <x:v>12</x:v>
      </x:c>
      <x:c r="B4" s="4" t="s">
        <x:v>13</x:v>
      </x:c>
      <x:c r="C4" s="4" t="s">
        <x:v>14</x:v>
      </x:c>
      <x:c r="D4" s="4" t="s">
        <x:v>15</x:v>
      </x:c>
    </x:row>
    <x:row r="5" ht="15">
      <x:c r="A5" s="4" t="s">
        <x:v>16</x:v>
      </x:c>
      <x:c r="B5" s="4" t="s">
        <x:v>17</x:v>
      </x:c>
      <x:c r="C5" s="4" t="s">
        <x:v>18</x:v>
      </x:c>
      <x:c r="D5" s="4" t="s">
        <x:v>19</x:v>
      </x:c>
    </x:row>
    <x:row r="6" ht="15">
      <x:c r="A6" s="4" t="s">
        <x:v>20</x:v>
      </x:c>
      <x:c r="B6" s="4" t="s">
        <x:v>21</x:v>
      </x:c>
      <x:c r="C6" s="4" t="s">
        <x:v>22</x:v>
      </x:c>
      <x:c r="D6" s="4" t="s">
        <x:v>23</x:v>
      </x:c>
    </x:row>
    <x:row r="7" ht="15">
      <x:c r="A7" s="4" t="s">
        <x:v>24</x:v>
      </x:c>
      <x:c r="B7" s="4" t="s">
        <x:v>25</x:v>
      </x:c>
      <x:c r="C7" s="4" t="s">
        <x:v>26</x:v>
      </x:c>
      <x:c r="D7" s="4" t="s">
        <x:v>27</x:v>
      </x:c>
    </x:row>
    <x:row r="8" ht="15">
      <x:c r="A8" s="4" t="s">
        <x:v>28</x:v>
      </x:c>
      <x:c r="B8" s="4" t="s">
        <x:v>29</x:v>
      </x:c>
      <x:c r="C8" s="4" t="s">
        <x:v>30</x:v>
      </x:c>
      <x:c r="D8" s="4" t="s">
        <x:v>31</x:v>
      </x:c>
    </x:row>
    <x:row r="9" ht="15">
      <x:c r="A9" s="4" t="s">
        <x:v>32</x:v>
      </x:c>
      <x:c r="B9" s="4" t="s">
        <x:v>33</x:v>
      </x:c>
      <x:c r="C9" s="4"/>
      <x:c r="D9" s="4" t="s">
        <x:v>34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25"/>
  <x:cols>
    <x:col min="1" max="1" width="4.375" customWidth="1"/>
    <x:col min="2" max="2" width="9.75" customWidth="1"/>
    <x:col min="3" max="3" width="24.875" customWidth="1"/>
    <x:col min="4" max="4" width="18.375" style="1" customWidth="1"/>
    <x:col min="5" max="5" width="42.875" customWidth="1"/>
    <x:col min="6" max="6" width="22.75" customWidth="1"/>
    <x:col min="7" max="7" width="20.625" customWidth="1"/>
    <x:col min="8" max="8" width="9.75" customWidth="1"/>
    <x:col min="9" max="9" width="34.625" customWidth="1"/>
    <x:col min="10" max="10" width="36" customWidth="1"/>
    <x:col min="11" max="11" width="46.125" customWidth="1"/>
  </x:cols>
  <x:sheetData>
    <x:row r="1" s="2" customFormat="1" ht="15">
      <x:c r="A1" s="14" t="s">
        <x:v>35</x:v>
      </x:c>
      <x:c r="B1" s="14" t="s">
        <x:v>36</x:v>
      </x:c>
      <x:c r="C1" s="14" t="s">
        <x:v>37</x:v>
      </x:c>
      <x:c r="D1" s="16" t="s">
        <x:v>38</x:v>
      </x:c>
      <x:c r="E1" s="14" t="s">
        <x:v>39</x:v>
      </x:c>
      <x:c r="F1" s="17" t="s">
        <x:v>40</x:v>
      </x:c>
      <x:c r="G1" s="17" t="s">
        <x:v>41</x:v>
      </x:c>
      <x:c r="H1" s="14" t="s">
        <x:v>42</x:v>
      </x:c>
      <x:c r="I1" s="14" t="s">
        <x:v>43</x:v>
      </x:c>
      <x:c r="J1" s="14" t="s">
        <x:v>44</x:v>
      </x:c>
      <x:c r="K1" s="14" t="s">
        <x:v>3</x:v>
      </x:c>
    </x:row>
    <x:row r="2" ht="15">
      <x:c r="A2" s="4">
        <x:v>1</x:v>
      </x:c>
      <x:c r="B2" s="4" t="s">
        <x:v>45</x:v>
      </x:c>
      <x:c r="C2" s="4" t="s">
        <x:v>46</x:v>
      </x:c>
      <x:c r="D2" s="15" t="s">
        <x:v>47</x:v>
      </x:c>
      <x:c r="E2" s="4" t="s">
        <x:v>48</x:v>
      </x:c>
      <x:c r="F2" s="3">
        <x:v>0.1</x:v>
      </x:c>
      <x:c r="G2" s="3">
        <x:v>0.04</x:v>
      </x:c>
      <x:c r="H2" s="4" t="s">
        <x:v>49</x:v>
      </x:c>
      <x:c r="I2" s="4" t="s">
        <x:v>50</x:v>
      </x:c>
      <x:c r="J2" s="4" t="s">
        <x:v>6</x:v>
      </x:c>
      <x:c r="K2" s="4" t="s">
        <x:v>51</x:v>
      </x:c>
    </x:row>
    <x:row r="3" ht="15">
      <x:c r="A3" s="4">
        <x:v>2</x:v>
      </x:c>
      <x:c r="B3" s="4" t="s">
        <x:v>45</x:v>
      </x:c>
      <x:c r="C3" s="4" t="s">
        <x:v>52</x:v>
      </x:c>
      <x:c r="D3" s="15" t="s">
        <x:v>47</x:v>
      </x:c>
      <x:c r="E3" s="4" t="s">
        <x:v>53</x:v>
      </x:c>
      <x:c r="F3" s="3">
        <x:v>0.08</x:v>
      </x:c>
      <x:c r="G3" s="3">
        <x:v>2.5000000000000001E-2</x:v>
      </x:c>
      <x:c r="H3" s="4" t="s">
        <x:v>49</x:v>
      </x:c>
      <x:c r="I3" s="4" t="s">
        <x:v>50</x:v>
      </x:c>
      <x:c r="J3" s="4" t="s">
        <x:v>6</x:v>
      </x:c>
      <x:c r="K3" s="4" t="s">
        <x:v>54</x:v>
      </x:c>
    </x:row>
    <x:row r="4" ht="15">
      <x:c r="A4" s="4">
        <x:v>3</x:v>
      </x:c>
      <x:c r="B4" s="4" t="s">
        <x:v>45</x:v>
      </x:c>
      <x:c r="C4" s="4" t="s">
        <x:v>55</x:v>
      </x:c>
      <x:c r="D4" s="15" t="s">
        <x:v>47</x:v>
      </x:c>
      <x:c r="E4" s="4" t="s">
        <x:v>56</x:v>
      </x:c>
      <x:c r="F4" s="3">
        <x:v>0.08</x:v>
      </x:c>
      <x:c r="G4" s="3">
        <x:v>1.7999999999999999E-2</x:v>
      </x:c>
      <x:c r="H4" s="4" t="s">
        <x:v>49</x:v>
      </x:c>
      <x:c r="I4" s="4" t="s">
        <x:v>50</x:v>
      </x:c>
      <x:c r="J4" s="4" t="s">
        <x:v>26</x:v>
      </x:c>
      <x:c r="K4" s="4" t="s">
        <x:v>57</x:v>
      </x:c>
    </x:row>
    <x:row r="5" ht="15">
      <x:c r="A5" s="4">
        <x:v>4</x:v>
      </x:c>
      <x:c r="B5" s="4" t="s">
        <x:v>58</x:v>
      </x:c>
      <x:c r="C5" s="4" t="s">
        <x:v>59</x:v>
      </x:c>
      <x:c r="D5" s="15" t="s">
        <x:v>47</x:v>
      </x:c>
      <x:c r="E5" s="4" t="s">
        <x:v>60</x:v>
      </x:c>
      <x:c r="F5" s="3">
        <x:v>0.5</x:v>
      </x:c>
      <x:c r="G5" s="3">
        <x:v>0.04</x:v>
      </x:c>
      <x:c r="H5" s="4" t="s">
        <x:v>49</x:v>
      </x:c>
      <x:c r="I5" s="4" t="s">
        <x:v>61</x:v>
      </x:c>
      <x:c r="J5" s="4" t="s">
        <x:v>6</x:v>
      </x:c>
      <x:c r="K5" s="4" t="s">
        <x:v>62</x:v>
      </x:c>
    </x:row>
    <x:row r="6" ht="15">
      <x:c r="A6" s="4">
        <x:v>5</x:v>
      </x:c>
      <x:c r="B6" s="4" t="s">
        <x:v>63</x:v>
      </x:c>
      <x:c r="C6" s="4" t="s">
        <x:v>64</x:v>
      </x:c>
      <x:c r="D6" s="15" t="s">
        <x:v>47</x:v>
      </x:c>
      <x:c r="E6" s="4" t="s">
        <x:v>65</x:v>
      </x:c>
      <x:c r="F6" s="3">
        <x:v>1.2E-2</x:v>
      </x:c>
      <x:c r="G6" s="3">
        <x:v>1.2E-2</x:v>
      </x:c>
      <x:c r="H6" s="4" t="s">
        <x:v>49</x:v>
      </x:c>
      <x:c r="I6" s="4" t="s">
        <x:v>66</x:v>
      </x:c>
      <x:c r="J6" s="4" t="s">
        <x:v>18</x:v>
      </x:c>
      <x:c r="K6" s="4" t="s">
        <x:v>67</x:v>
      </x:c>
    </x:row>
    <x:row r="7" ht="15">
      <x:c r="A7" s="4">
        <x:v>6</x:v>
      </x:c>
      <x:c r="B7" s="4" t="s">
        <x:v>63</x:v>
      </x:c>
      <x:c r="C7" s="4" t="s">
        <x:v>68</x:v>
      </x:c>
      <x:c r="D7" s="15" t="s">
        <x:v>47</x:v>
      </x:c>
      <x:c r="E7" s="4" t="s">
        <x:v>69</x:v>
      </x:c>
      <x:c r="F7" s="3">
        <x:v>8.0000000000000002E-3</x:v>
      </x:c>
      <x:c r="G7" s="3">
        <x:v>8.0000000000000002E-3</x:v>
      </x:c>
      <x:c r="H7" s="4" t="s">
        <x:v>49</x:v>
      </x:c>
      <x:c r="I7" s="4" t="s">
        <x:v>66</x:v>
      </x:c>
      <x:c r="J7" s="4" t="s">
        <x:v>18</x:v>
      </x:c>
      <x:c r="K7" s="4" t="s">
        <x:v>70</x:v>
      </x:c>
    </x:row>
    <x:row r="8" ht="15">
      <x:c r="A8" s="4">
        <x:v>7</x:v>
      </x:c>
      <x:c r="B8" s="4" t="s">
        <x:v>71</x:v>
      </x:c>
      <x:c r="C8" s="4" t="s">
        <x:v>72</x:v>
      </x:c>
      <x:c r="D8" s="15" t="s">
        <x:v>47</x:v>
      </x:c>
      <x:c r="E8" s="4" t="s">
        <x:v>73</x:v>
      </x:c>
      <x:c r="F8" s="3">
        <x:v>0.02</x:v>
      </x:c>
      <x:c r="G8" s="3">
        <x:v>0.02</x:v>
      </x:c>
      <x:c r="H8" s="4" t="s">
        <x:v>49</x:v>
      </x:c>
      <x:c r="I8" s="4" t="s">
        <x:v>66</x:v>
      </x:c>
      <x:c r="J8" s="4" t="s">
        <x:v>18</x:v>
      </x:c>
      <x:c r="K8" s="4" t="s">
        <x:v>74</x:v>
      </x:c>
    </x:row>
    <x:row r="9" ht="15">
      <x:c r="A9" s="4">
        <x:v>8</x:v>
      </x:c>
      <x:c r="B9" s="4" t="s">
        <x:v>75</x:v>
      </x:c>
      <x:c r="C9" s="4" t="s">
        <x:v>76</x:v>
      </x:c>
      <x:c r="D9" s="15" t="s">
        <x:v>47</x:v>
      </x:c>
      <x:c r="E9" s="4" t="s">
        <x:v>77</x:v>
      </x:c>
      <x:c r="F9" s="3">
        <x:v>0.5</x:v>
      </x:c>
      <x:c r="G9" s="3">
        <x:v>1.4999999999999999E-2</x:v>
      </x:c>
      <x:c r="H9" s="4" t="s">
        <x:v>49</x:v>
      </x:c>
      <x:c r="I9" s="4" t="s">
        <x:v>78</x:v>
      </x:c>
      <x:c r="J9" s="4" t="s">
        <x:v>22</x:v>
      </x:c>
      <x:c r="K9" s="4" t="s">
        <x:v>79</x:v>
      </x:c>
    </x:row>
    <x:row r="10" ht="15">
      <x:c r="A10" s="4">
        <x:v>9</x:v>
      </x:c>
      <x:c r="B10" s="4" t="s">
        <x:v>80</x:v>
      </x:c>
      <x:c r="C10" s="4" t="s">
        <x:v>81</x:v>
      </x:c>
      <x:c r="D10" s="15" t="s">
        <x:v>47</x:v>
      </x:c>
      <x:c r="E10" s="4" t="s">
        <x:v>82</x:v>
      </x:c>
      <x:c r="F10" s="3">
        <x:v>0.06</x:v>
      </x:c>
      <x:c r="G10" s="3">
        <x:v>2.5000000000000001E-2</x:v>
      </x:c>
      <x:c r="H10" s="4" t="s">
        <x:v>49</x:v>
      </x:c>
      <x:c r="I10" s="4" t="s">
        <x:v>83</x:v>
      </x:c>
      <x:c r="J10" s="4" t="s">
        <x:v>26</x:v>
      </x:c>
      <x:c r="K10" s="4" t="s">
        <x:v>84</x:v>
      </x:c>
    </x:row>
    <x:row r="11" ht="15">
      <x:c r="A11" s="4">
        <x:v>10</x:v>
      </x:c>
      <x:c r="B11" s="4" t="s">
        <x:v>85</x:v>
      </x:c>
      <x:c r="C11" s="4" t="s">
        <x:v>86</x:v>
      </x:c>
      <x:c r="D11" s="15" t="s">
        <x:v>47</x:v>
      </x:c>
      <x:c r="E11" s="4" t="s">
        <x:v>87</x:v>
      </x:c>
      <x:c r="F11" s="3">
        <x:v>0.03</x:v>
      </x:c>
      <x:c r="G11" s="3">
        <x:v>0.03</x:v>
      </x:c>
      <x:c r="H11" s="4" t="s">
        <x:v>49</x:v>
      </x:c>
      <x:c r="I11" s="4" t="s">
        <x:v>88</x:v>
      </x:c>
      <x:c r="J11" s="4" t="s">
        <x:v>26</x:v>
      </x:c>
      <x:c r="K11" s="4" t="s">
        <x:v>89</x:v>
      </x:c>
    </x:row>
    <x:row r="12" ht="15">
      <x:c r="A12" s="4">
        <x:v>11</x:v>
      </x:c>
      <x:c r="B12" s="4" t="s">
        <x:v>90</x:v>
      </x:c>
      <x:c r="C12" s="4" t="s">
        <x:v>91</x:v>
      </x:c>
      <x:c r="D12" s="15" t="s">
        <x:v>47</x:v>
      </x:c>
      <x:c r="E12" s="4" t="s">
        <x:v>92</x:v>
      </x:c>
      <x:c r="F12" s="3">
        <x:v>0.22</x:v>
      </x:c>
      <x:c r="G12" s="3">
        <x:v>0.18</x:v>
      </x:c>
      <x:c r="H12" s="4" t="s">
        <x:v>49</x:v>
      </x:c>
      <x:c r="I12" s="4" t="s">
        <x:v>93</x:v>
      </x:c>
      <x:c r="J12" s="4" t="s">
        <x:v>26</x:v>
      </x:c>
      <x:c r="K12" s="4" t="s">
        <x:v>94</x:v>
      </x:c>
    </x:row>
    <x:row r="13" ht="15">
      <x:c r="A13" s="4">
        <x:v>12</x:v>
      </x:c>
      <x:c r="B13" s="4" t="s">
        <x:v>95</x:v>
      </x:c>
      <x:c r="C13" s="4" t="s">
        <x:v>96</x:v>
      </x:c>
      <x:c r="D13" s="15" t="s">
        <x:v>47</x:v>
      </x:c>
      <x:c r="E13" s="4" t="s">
        <x:v>97</x:v>
      </x:c>
      <x:c r="F13" s="3">
        <x:v>0.08</x:v>
      </x:c>
      <x:c r="G13" s="3">
        <x:v>0.08</x:v>
      </x:c>
      <x:c r="H13" s="4" t="s">
        <x:v>49</x:v>
      </x:c>
      <x:c r="I13" s="4" t="s">
        <x:v>98</x:v>
      </x:c>
      <x:c r="J13" s="4" t="s">
        <x:v>26</x:v>
      </x:c>
      <x:c r="K13" s="4" t="s">
        <x:v>99</x:v>
      </x:c>
    </x:row>
    <x:row r="14" ht="15">
      <x:c r="A14" s="4">
        <x:v>13</x:v>
      </x:c>
      <x:c r="B14" s="4" t="s">
        <x:v>95</x:v>
      </x:c>
      <x:c r="C14" s="4" t="s">
        <x:v>100</x:v>
      </x:c>
      <x:c r="D14" s="15" t="s">
        <x:v>47</x:v>
      </x:c>
      <x:c r="E14" s="4" t="s">
        <x:v>101</x:v>
      </x:c>
      <x:c r="F14" s="3">
        <x:v>0.05</x:v>
      </x:c>
      <x:c r="G14" s="3">
        <x:v>0.05</x:v>
      </x:c>
      <x:c r="H14" s="4" t="s">
        <x:v>49</x:v>
      </x:c>
      <x:c r="I14" s="4" t="s">
        <x:v>102</x:v>
      </x:c>
      <x:c r="J14" s="4" t="s">
        <x:v>18</x:v>
      </x:c>
      <x:c r="K14" s="4" t="s">
        <x:v>103</x:v>
      </x:c>
    </x:row>
    <x:row r="15" ht="15">
      <x:c r="A15" s="4">
        <x:v>14</x:v>
      </x:c>
      <x:c r="B15" s="4" t="s">
        <x:v>104</x:v>
      </x:c>
      <x:c r="C15" s="4" t="s">
        <x:v>105</x:v>
      </x:c>
      <x:c r="D15" s="15" t="s">
        <x:v>47</x:v>
      </x:c>
      <x:c r="E15" s="4" t="s">
        <x:v>106</x:v>
      </x:c>
      <x:c r="F15" s="3">
        <x:v>0.22</x:v>
      </x:c>
      <x:c r="G15" s="3">
        <x:v>0.18</x:v>
      </x:c>
      <x:c r="H15" s="4" t="s">
        <x:v>49</x:v>
      </x:c>
      <x:c r="I15" s="4" t="s">
        <x:v>107</x:v>
      </x:c>
      <x:c r="J15" s="4" t="s">
        <x:v>18</x:v>
      </x:c>
      <x:c r="K15" s="4" t="s">
        <x:v>108</x:v>
      </x:c>
    </x:row>
    <x:row r="16" ht="15">
      <x:c r="A16" s="4">
        <x:v>15</x:v>
      </x:c>
      <x:c r="B16" s="4" t="s">
        <x:v>104</x:v>
      </x:c>
      <x:c r="C16" s="4" t="s">
        <x:v>109</x:v>
      </x:c>
      <x:c r="D16" s="15" t="s">
        <x:v>110</x:v>
      </x:c>
      <x:c r="E16" s="4" t="s">
        <x:v>111</x:v>
      </x:c>
      <x:c r="F16" s="3">
        <x:v>0.08</x:v>
      </x:c>
      <x:c r="G16" s="3">
        <x:v>0.08</x:v>
      </x:c>
      <x:c r="H16" s="4" t="s">
        <x:v>49</x:v>
      </x:c>
      <x:c r="I16" s="4" t="s">
        <x:v>112</x:v>
      </x:c>
      <x:c r="J16" s="4" t="s">
        <x:v>18</x:v>
      </x:c>
      <x:c r="K16" s="4" t="s">
        <x:v>113</x:v>
      </x:c>
    </x:row>
    <x:row r="17" ht="15">
      <x:c r="A17" s="4">
        <x:v>16</x:v>
      </x:c>
      <x:c r="B17" s="4" t="s">
        <x:v>95</x:v>
      </x:c>
      <x:c r="C17" s="4" t="s">
        <x:v>114</x:v>
      </x:c>
      <x:c r="D17" s="15" t="s">
        <x:v>110</x:v>
      </x:c>
      <x:c r="E17" s="4" t="s">
        <x:v>115</x:v>
      </x:c>
      <x:c r="F17" s="3">
        <x:v>0.12</x:v>
      </x:c>
      <x:c r="G17" s="3">
        <x:v>0.08</x:v>
      </x:c>
      <x:c r="H17" s="4" t="s">
        <x:v>49</x:v>
      </x:c>
      <x:c r="I17" s="4" t="s">
        <x:v>116</x:v>
      </x:c>
      <x:c r="J17" s="4" t="s">
        <x:v>18</x:v>
      </x:c>
      <x:c r="K17" s="4" t="s">
        <x:v>117</x:v>
      </x:c>
    </x:row>
    <x:row r="18" ht="15">
      <x:c r="A18" s="4">
        <x:v>17</x:v>
      </x:c>
      <x:c r="B18" s="4" t="s">
        <x:v>118</x:v>
      </x:c>
      <x:c r="C18" s="4" t="s">
        <x:v>119</x:v>
      </x:c>
      <x:c r="D18" s="15" t="s">
        <x:v>47</x:v>
      </x:c>
      <x:c r="E18" s="4" t="s">
        <x:v>82</x:v>
      </x:c>
      <x:c r="F18" s="3">
        <x:v>1</x:v>
      </x:c>
      <x:c r="G18" s="3">
        <x:v>0.4</x:v>
      </x:c>
      <x:c r="H18" s="4" t="s">
        <x:v>49</x:v>
      </x:c>
      <x:c r="I18" s="4" t="s">
        <x:v>120</x:v>
      </x:c>
      <x:c r="J18" s="4" t="s">
        <x:v>6</x:v>
      </x:c>
      <x:c r="K18" s="4" t="s">
        <x:v>121</x:v>
      </x:c>
    </x:row>
    <x:row r="19" ht="15">
      <x:c r="A19" s="4">
        <x:v>18</x:v>
      </x:c>
      <x:c r="B19" s="4" t="s">
        <x:v>118</x:v>
      </x:c>
      <x:c r="C19" s="4" t="s">
        <x:v>122</x:v>
      </x:c>
      <x:c r="D19" s="15" t="s">
        <x:v>47</x:v>
      </x:c>
      <x:c r="E19" s="4" t="s">
        <x:v>82</x:v>
      </x:c>
      <x:c r="F19" s="3">
        <x:v>0.04</x:v>
      </x:c>
      <x:c r="G19" s="3">
        <x:v>0.03</x:v>
      </x:c>
      <x:c r="H19" s="4" t="s">
        <x:v>49</x:v>
      </x:c>
      <x:c r="I19" s="4" t="s">
        <x:v>123</x:v>
      </x:c>
      <x:c r="J19" s="4" t="s">
        <x:v>6</x:v>
      </x:c>
      <x:c r="K19" s="4" t="s">
        <x:v>124</x:v>
      </x:c>
    </x:row>
    <x:row r="20" ht="15">
      <x:c r="A20" s="4">
        <x:v>19</x:v>
      </x:c>
      <x:c r="B20" s="4" t="s">
        <x:v>118</x:v>
      </x:c>
      <x:c r="C20" s="4" t="s">
        <x:v>125</x:v>
      </x:c>
      <x:c r="D20" s="15" t="s">
        <x:v>47</x:v>
      </x:c>
      <x:c r="E20" s="4" t="s">
        <x:v>82</x:v>
      </x:c>
      <x:c r="F20" s="3">
        <x:v>3</x:v>
      </x:c>
      <x:c r="G20" s="3">
        <x:v>0.8</x:v>
      </x:c>
      <x:c r="H20" s="4" t="s">
        <x:v>49</x:v>
      </x:c>
      <x:c r="I20" s="4" t="s">
        <x:v>126</x:v>
      </x:c>
      <x:c r="J20" s="4" t="s">
        <x:v>6</x:v>
      </x:c>
      <x:c r="K20" s="4" t="s">
        <x:v>127</x:v>
      </x:c>
    </x:row>
    <x:row r="21" ht="15">
      <x:c r="A21" s="4">
        <x:v>20</x:v>
      </x:c>
      <x:c r="B21" s="4" t="s">
        <x:v>118</x:v>
      </x:c>
      <x:c r="C21" s="4" t="s">
        <x:v>128</x:v>
      </x:c>
      <x:c r="D21" s="15" t="s">
        <x:v>47</x:v>
      </x:c>
      <x:c r="E21" s="4" t="s">
        <x:v>129</x:v>
      </x:c>
      <x:c r="F21" s="3">
        <x:v>1.2</x:v>
      </x:c>
      <x:c r="G21" s="3">
        <x:v>0.08</x:v>
      </x:c>
      <x:c r="H21" s="4" t="s">
        <x:v>49</x:v>
      </x:c>
      <x:c r="I21" s="4" t="s">
        <x:v>130</x:v>
      </x:c>
      <x:c r="J21" s="4" t="s">
        <x:v>18</x:v>
      </x:c>
      <x:c r="K21" s="4" t="s">
        <x:v>131</x:v>
      </x:c>
    </x:row>
    <x:row r="22" ht="15">
      <x:c r="A22" s="4">
        <x:v>21</x:v>
      </x:c>
      <x:c r="B22" s="4" t="s">
        <x:v>118</x:v>
      </x:c>
      <x:c r="C22" s="4" t="s">
        <x:v>132</x:v>
      </x:c>
      <x:c r="D22" s="15" t="s">
        <x:v>47</x:v>
      </x:c>
      <x:c r="E22" s="4" t="s">
        <x:v>133</x:v>
      </x:c>
      <x:c r="F22" s="3">
        <x:v>1.5</x:v>
      </x:c>
      <x:c r="G22" s="3">
        <x:v>0.4</x:v>
      </x:c>
      <x:c r="H22" s="4" t="s">
        <x:v>49</x:v>
      </x:c>
      <x:c r="I22" s="4" t="s">
        <x:v>134</x:v>
      </x:c>
      <x:c r="J22" s="4" t="s">
        <x:v>18</x:v>
      </x:c>
      <x:c r="K22" s="4" t="s">
        <x:v>135</x:v>
      </x:c>
    </x:row>
    <x:row r="23" ht="15">
      <x:c r="A23" s="4">
        <x:v>22</x:v>
      </x:c>
      <x:c r="B23" s="4" t="s">
        <x:v>118</x:v>
      </x:c>
      <x:c r="C23" s="4" t="s">
        <x:v>136</x:v>
      </x:c>
      <x:c r="D23" s="15" t="s">
        <x:v>47</x:v>
      </x:c>
      <x:c r="E23" s="4" t="s">
        <x:v>137</x:v>
      </x:c>
      <x:c r="F23" s="3">
        <x:v>1.5</x:v>
      </x:c>
      <x:c r="G23" s="3">
        <x:v>0.1</x:v>
      </x:c>
      <x:c r="H23" s="4" t="s">
        <x:v>49</x:v>
      </x:c>
      <x:c r="I23" s="4" t="s">
        <x:v>138</x:v>
      </x:c>
      <x:c r="J23" s="4" t="s">
        <x:v>18</x:v>
      </x:c>
      <x:c r="K23" s="4" t="s">
        <x:v>139</x:v>
      </x:c>
    </x:row>
    <x:row r="24" ht="15">
      <x:c r="A24" s="4">
        <x:v>23</x:v>
      </x:c>
      <x:c r="B24" s="4" t="s">
        <x:v>118</x:v>
      </x:c>
      <x:c r="C24" s="4" t="s">
        <x:v>140</x:v>
      </x:c>
      <x:c r="D24" s="15" t="s">
        <x:v>110</x:v>
      </x:c>
      <x:c r="E24" s="4" t="s">
        <x:v>82</x:v>
      </x:c>
      <x:c r="F24" s="3">
        <x:v>1.2</x:v>
      </x:c>
      <x:c r="G24" s="3">
        <x:v>0.6</x:v>
      </x:c>
      <x:c r="H24" s="4" t="s">
        <x:v>49</x:v>
      </x:c>
      <x:c r="I24" s="4" t="s">
        <x:v>141</x:v>
      </x:c>
      <x:c r="J24" s="4" t="s">
        <x:v>26</x:v>
      </x:c>
      <x:c r="K24" s="4" t="s">
        <x:v>142</x:v>
      </x:c>
    </x:row>
    <x:row r="25" ht="15">
      <x:c r="A25" s="4">
        <x:v>24</x:v>
      </x:c>
      <x:c r="B25" s="4" t="s">
        <x:v>118</x:v>
      </x:c>
      <x:c r="C25" s="4" t="s">
        <x:v>143</x:v>
      </x:c>
      <x:c r="D25" s="15" t="s">
        <x:v>110</x:v>
      </x:c>
      <x:c r="E25" s="4" t="s">
        <x:v>144</x:v>
      </x:c>
      <x:c r="F25" s="3">
        <x:v>0.3</x:v>
      </x:c>
      <x:c r="G25" s="3">
        <x:v>0.02</x:v>
      </x:c>
      <x:c r="H25" s="4" t="s">
        <x:v>49</x:v>
      </x:c>
      <x:c r="I25" s="4" t="s">
        <x:v>145</x:v>
      </x:c>
      <x:c r="J25" s="4" t="s">
        <x:v>18</x:v>
      </x:c>
      <x:c r="K25" s="4" t="s">
        <x:v>146</x:v>
      </x:c>
    </x:row>
    <x:row r="26" ht="15">
      <x:c r="A26" s="4">
        <x:v>25</x:v>
      </x:c>
      <x:c r="B26" s="4" t="s">
        <x:v>147</x:v>
      </x:c>
      <x:c r="C26" s="4" t="s">
        <x:v>148</x:v>
      </x:c>
      <x:c r="D26" s="15" t="s">
        <x:v>110</x:v>
      </x:c>
      <x:c r="E26" s="4" t="s">
        <x:v>149</x:v>
      </x:c>
      <x:c r="F26" s="3">
        <x:v>0.5</x:v>
      </x:c>
      <x:c r="G26" s="3">
        <x:v>0.25</x:v>
      </x:c>
      <x:c r="H26" s="4" t="s">
        <x:v>49</x:v>
      </x:c>
      <x:c r="I26" s="4" t="s">
        <x:v>150</x:v>
      </x:c>
      <x:c r="J26" s="4" t="s">
        <x:v>6</x:v>
      </x:c>
      <x:c r="K26" s="4" t="s">
        <x:v>151</x:v>
      </x:c>
    </x:row>
    <x:row r="27" ht="15">
      <x:c r="A27" s="4">
        <x:v>26</x:v>
      </x:c>
      <x:c r="B27" s="4" t="s">
        <x:v>147</x:v>
      </x:c>
      <x:c r="C27" s="4" t="s">
        <x:v>152</x:v>
      </x:c>
      <x:c r="D27" s="15" t="s">
        <x:v>110</x:v>
      </x:c>
      <x:c r="E27" s="4" t="s">
        <x:v>153</x:v>
      </x:c>
      <x:c r="F27" s="3">
        <x:v>1</x:v>
      </x:c>
      <x:c r="G27" s="3">
        <x:v>0.7</x:v>
      </x:c>
      <x:c r="H27" s="4" t="s">
        <x:v>49</x:v>
      </x:c>
      <x:c r="I27" s="4" t="s">
        <x:v>154</x:v>
      </x:c>
      <x:c r="J27" s="4" t="s">
        <x:v>26</x:v>
      </x:c>
      <x:c r="K27" s="4" t="s">
        <x:v>155</x:v>
      </x:c>
    </x:row>
    <x:row r="28" ht="15">
      <x:c r="A28" s="4">
        <x:v>27</x:v>
      </x:c>
      <x:c r="B28" s="4" t="s">
        <x:v>147</x:v>
      </x:c>
      <x:c r="C28" s="4" t="s">
        <x:v>156</x:v>
      </x:c>
      <x:c r="D28" s="15" t="s">
        <x:v>110</x:v>
      </x:c>
      <x:c r="E28" s="4" t="s">
        <x:v>157</x:v>
      </x:c>
      <x:c r="F28" s="3">
        <x:v>1.5</x:v>
      </x:c>
      <x:c r="G28" s="3">
        <x:v>0.5</x:v>
      </x:c>
      <x:c r="H28" s="4" t="s">
        <x:v>49</x:v>
      </x:c>
      <x:c r="I28" s="4" t="s">
        <x:v>158</x:v>
      </x:c>
      <x:c r="J28" s="4" t="s">
        <x:v>22</x:v>
      </x:c>
      <x:c r="K28" s="4" t="s">
        <x:v>159</x:v>
      </x:c>
    </x:row>
    <x:row r="29" ht="15">
      <x:c r="A29" s="4">
        <x:v>28</x:v>
      </x:c>
      <x:c r="B29" s="4" t="s">
        <x:v>147</x:v>
      </x:c>
      <x:c r="C29" s="4" t="s">
        <x:v>160</x:v>
      </x:c>
      <x:c r="D29" s="15" t="s">
        <x:v>110</x:v>
      </x:c>
      <x:c r="E29" s="4" t="s">
        <x:v>161</x:v>
      </x:c>
      <x:c r="F29" s="3">
        <x:v>0.06</x:v>
      </x:c>
      <x:c r="G29" s="3">
        <x:v>0.05</x:v>
      </x:c>
      <x:c r="H29" s="4" t="s">
        <x:v>49</x:v>
      </x:c>
      <x:c r="I29" s="4" t="s">
        <x:v>162</x:v>
      </x:c>
      <x:c r="J29" s="4" t="s">
        <x:v>18</x:v>
      </x:c>
      <x:c r="K29" s="4" t="s">
        <x:v>163</x:v>
      </x:c>
    </x:row>
    <x:row r="30" ht="15">
      <x:c r="A30" s="4">
        <x:v>29</x:v>
      </x:c>
      <x:c r="B30" s="4" t="s">
        <x:v>147</x:v>
      </x:c>
      <x:c r="C30" s="4" t="s">
        <x:v>164</x:v>
      </x:c>
      <x:c r="D30" s="15" t="s">
        <x:v>110</x:v>
      </x:c>
      <x:c r="E30" s="4" t="s">
        <x:v>165</x:v>
      </x:c>
      <x:c r="F30" s="3">
        <x:v>0.4</x:v>
      </x:c>
      <x:c r="G30" s="3">
        <x:v>0.1</x:v>
      </x:c>
      <x:c r="H30" s="4" t="s">
        <x:v>49</x:v>
      </x:c>
      <x:c r="I30" s="4" t="s">
        <x:v>166</x:v>
      </x:c>
      <x:c r="J30" s="4" t="s">
        <x:v>18</x:v>
      </x:c>
      <x:c r="K30" s="4" t="s">
        <x:v>167</x:v>
      </x:c>
    </x:row>
    <x:row r="31" ht="15">
      <x:c r="A31" s="4">
        <x:v>30</x:v>
      </x:c>
      <x:c r="B31" s="4" t="s">
        <x:v>147</x:v>
      </x:c>
      <x:c r="C31" s="4" t="s">
        <x:v>168</x:v>
      </x:c>
      <x:c r="D31" s="15" t="s">
        <x:v>110</x:v>
      </x:c>
      <x:c r="E31" s="4" t="s">
        <x:v>169</x:v>
      </x:c>
      <x:c r="F31" s="3">
        <x:v>1.2</x:v>
      </x:c>
      <x:c r="G31" s="3">
        <x:v>0.2</x:v>
      </x:c>
      <x:c r="H31" s="4" t="s">
        <x:v>49</x:v>
      </x:c>
      <x:c r="I31" s="4" t="s">
        <x:v>170</x:v>
      </x:c>
      <x:c r="J31" s="4" t="s">
        <x:v>18</x:v>
      </x:c>
      <x:c r="K31" s="4" t="s">
        <x:v>171</x:v>
      </x:c>
    </x:row>
    <x:row r="32" ht="15">
      <x:c r="A32" s="4">
        <x:v>31</x:v>
      </x:c>
      <x:c r="B32" s="4" t="s">
        <x:v>75</x:v>
      </x:c>
      <x:c r="C32" s="4" t="s">
        <x:v>172</x:v>
      </x:c>
      <x:c r="D32" s="15" t="s">
        <x:v>47</x:v>
      </x:c>
      <x:c r="E32" s="4" t="s">
        <x:v>169</x:v>
      </x:c>
      <x:c r="F32" s="3">
        <x:v>1.5</x:v>
      </x:c>
      <x:c r="G32" s="3">
        <x:v>0.15</x:v>
      </x:c>
      <x:c r="H32" s="4" t="s">
        <x:v>49</x:v>
      </x:c>
      <x:c r="I32" s="4" t="s">
        <x:v>173</x:v>
      </x:c>
      <x:c r="J32" s="4" t="s">
        <x:v>18</x:v>
      </x:c>
      <x:c r="K32" s="4" t="s">
        <x:v>174</x:v>
      </x:c>
    </x:row>
    <x:row r="33" ht="15">
      <x:c r="A33" s="4">
        <x:v>32</x:v>
      </x:c>
      <x:c r="B33" s="4" t="s">
        <x:v>175</x:v>
      </x:c>
      <x:c r="C33" s="4" t="s">
        <x:v>176</x:v>
      </x:c>
      <x:c r="D33" s="15" t="s">
        <x:v>110</x:v>
      </x:c>
      <x:c r="E33" s="4" t="s">
        <x:v>177</x:v>
      </x:c>
      <x:c r="F33" s="3">
        <x:v>2</x:v>
      </x:c>
      <x:c r="G33" s="3">
        <x:v>0.9</x:v>
      </x:c>
      <x:c r="H33" s="4" t="s">
        <x:v>178</x:v>
      </x:c>
      <x:c r="I33" s="4" t="s">
        <x:v>179</x:v>
      </x:c>
      <x:c r="J33" s="4" t="s">
        <x:v>6</x:v>
      </x:c>
      <x:c r="K33" s="4" t="s">
        <x:v>180</x:v>
      </x:c>
    </x:row>
    <x:row r="34" ht="15">
      <x:c r="A34" s="4">
        <x:v>33</x:v>
      </x:c>
      <x:c r="B34" s="4" t="s">
        <x:v>175</x:v>
      </x:c>
      <x:c r="C34" s="4" t="s">
        <x:v>181</x:v>
      </x:c>
      <x:c r="D34" s="15" t="s">
        <x:v>47</x:v>
      </x:c>
      <x:c r="E34" s="4" t="s">
        <x:v>182</x:v>
      </x:c>
      <x:c r="F34" s="3">
        <x:v>0.8</x:v>
      </x:c>
      <x:c r="G34" s="3">
        <x:v>0.35</x:v>
      </x:c>
      <x:c r="H34" s="4" t="s">
        <x:v>178</x:v>
      </x:c>
      <x:c r="I34" s="4" t="s">
        <x:v>183</x:v>
      </x:c>
      <x:c r="J34" s="4" t="s">
        <x:v>6</x:v>
      </x:c>
      <x:c r="K34" s="4" t="s">
        <x:v>184</x:v>
      </x:c>
    </x:row>
    <x:row r="35" ht="15">
      <x:c r="A35" s="4">
        <x:v>34</x:v>
      </x:c>
      <x:c r="B35" s="4" t="s">
        <x:v>175</x:v>
      </x:c>
      <x:c r="C35" s="4" t="s">
        <x:v>185</x:v>
      </x:c>
      <x:c r="D35" s="15" t="s">
        <x:v>47</x:v>
      </x:c>
      <x:c r="E35" s="4" t="s">
        <x:v>186</x:v>
      </x:c>
      <x:c r="F35" s="3">
        <x:v>7.0000000000000007E-2</x:v>
      </x:c>
      <x:c r="G35" s="3">
        <x:v>0.06</x:v>
      </x:c>
      <x:c r="H35" s="4" t="s">
        <x:v>178</x:v>
      </x:c>
      <x:c r="I35" s="4" t="s">
        <x:v>187</x:v>
      </x:c>
      <x:c r="J35" s="4" t="s">
        <x:v>26</x:v>
      </x:c>
      <x:c r="K35" s="4" t="s">
        <x:v>188</x:v>
      </x:c>
    </x:row>
    <x:row r="36" ht="15">
      <x:c r="A36" s="4">
        <x:v>35</x:v>
      </x:c>
      <x:c r="B36" s="4" t="s">
        <x:v>189</x:v>
      </x:c>
      <x:c r="C36" s="4" t="s">
        <x:v>190</x:v>
      </x:c>
      <x:c r="D36" s="15" t="s">
        <x:v>47</x:v>
      </x:c>
      <x:c r="E36" s="4" t="s">
        <x:v>82</x:v>
      </x:c>
      <x:c r="F36" s="3">
        <x:v>0.35</x:v>
      </x:c>
      <x:c r="G36" s="3">
        <x:v>0.2</x:v>
      </x:c>
      <x:c r="H36" s="4" t="s">
        <x:v>178</x:v>
      </x:c>
      <x:c r="I36" s="4" t="s">
        <x:v>191</x:v>
      </x:c>
      <x:c r="J36" s="4" t="s">
        <x:v>26</x:v>
      </x:c>
      <x:c r="K36" s="4" t="s">
        <x:v>192</x:v>
      </x:c>
    </x:row>
    <x:row r="37" ht="15">
      <x:c r="A37" s="4">
        <x:v>36</x:v>
      </x:c>
      <x:c r="B37" s="4" t="s">
        <x:v>193</x:v>
      </x:c>
      <x:c r="C37" s="4" t="s">
        <x:v>194</x:v>
      </x:c>
      <x:c r="D37" s="15" t="s">
        <x:v>110</x:v>
      </x:c>
      <x:c r="E37" s="4" t="s">
        <x:v>195</x:v>
      </x:c>
      <x:c r="F37" s="3">
        <x:v>2</x:v>
      </x:c>
      <x:c r="G37" s="3">
        <x:v>0.8</x:v>
      </x:c>
      <x:c r="H37" s="4" t="s">
        <x:v>196</x:v>
      </x:c>
      <x:c r="I37" s="4" t="s">
        <x:v>197</x:v>
      </x:c>
      <x:c r="J37" s="4" t="s">
        <x:v>26</x:v>
      </x:c>
      <x:c r="K37" s="4" t="s">
        <x:v>198</x:v>
      </x:c>
    </x:row>
    <x:row r="38" ht="15">
      <x:c r="A38" s="4">
        <x:v>37</x:v>
      </x:c>
      <x:c r="B38" s="4" t="s">
        <x:v>193</x:v>
      </x:c>
      <x:c r="C38" s="4" t="s">
        <x:v>199</x:v>
      </x:c>
      <x:c r="D38" s="15" t="s">
        <x:v>47</x:v>
      </x:c>
      <x:c r="E38" s="4" t="s">
        <x:v>144</x:v>
      </x:c>
      <x:c r="F38" s="3">
        <x:v>0.4</x:v>
      </x:c>
      <x:c r="G38" s="3">
        <x:v>0.16</x:v>
      </x:c>
      <x:c r="H38" s="4" t="s">
        <x:v>196</x:v>
      </x:c>
      <x:c r="I38" s="4" t="s">
        <x:v>200</x:v>
      </x:c>
      <x:c r="J38" s="4" t="s">
        <x:v>22</x:v>
      </x:c>
      <x:c r="K38" s="4" t="s">
        <x:v>201</x:v>
      </x:c>
    </x:row>
    <x:row r="39" ht="15">
      <x:c r="A39" s="4">
        <x:v>38</x:v>
      </x:c>
      <x:c r="B39" s="4" t="s">
        <x:v>193</x:v>
      </x:c>
      <x:c r="C39" s="4" t="s">
        <x:v>202</x:v>
      </x:c>
      <x:c r="D39" s="15" t="s">
        <x:v>47</x:v>
      </x:c>
      <x:c r="E39" s="4" t="s">
        <x:v>203</x:v>
      </x:c>
      <x:c r="F39" s="3">
        <x:v>1.5</x:v>
      </x:c>
      <x:c r="G39" s="3">
        <x:v>0.25</x:v>
      </x:c>
      <x:c r="H39" s="4" t="s">
        <x:v>196</x:v>
      </x:c>
      <x:c r="I39" s="4" t="s">
        <x:v>204</x:v>
      </x:c>
      <x:c r="J39" s="4" t="s">
        <x:v>22</x:v>
      </x:c>
      <x:c r="K39" s="4" t="s">
        <x:v>205</x:v>
      </x:c>
    </x:row>
    <x:row r="40" ht="15">
      <x:c r="A40" s="4">
        <x:v>39</x:v>
      </x:c>
      <x:c r="B40" s="4" t="s">
        <x:v>206</x:v>
      </x:c>
      <x:c r="C40" s="4" t="s">
        <x:v>207</x:v>
      </x:c>
      <x:c r="D40" s="15" t="s">
        <x:v>47</x:v>
      </x:c>
      <x:c r="E40" s="4" t="s">
        <x:v>208</x:v>
      </x:c>
      <x:c r="F40" s="3">
        <x:v>0.06</x:v>
      </x:c>
      <x:c r="G40" s="3">
        <x:v>0.06</x:v>
      </x:c>
      <x:c r="H40" s="4" t="s">
        <x:v>196</x:v>
      </x:c>
      <x:c r="I40" s="4" t="s">
        <x:v>209</x:v>
      </x:c>
      <x:c r="J40" s="4" t="s">
        <x:v>18</x:v>
      </x:c>
      <x:c r="K40" s="4" t="s">
        <x:v>210</x:v>
      </x:c>
    </x:row>
    <x:row r="41" ht="15">
      <x:c r="A41" s="4">
        <x:v>40</x:v>
      </x:c>
      <x:c r="B41" s="4" t="s">
        <x:v>211</x:v>
      </x:c>
      <x:c r="C41" s="4" t="s">
        <x:v>212</x:v>
      </x:c>
      <x:c r="D41" s="15" t="s">
        <x:v>110</x:v>
      </x:c>
      <x:c r="E41" s="4" t="s">
        <x:v>213</x:v>
      </x:c>
      <x:c r="F41" s="3">
        <x:v>0.05</x:v>
      </x:c>
      <x:c r="G41" s="3">
        <x:v>0.05</x:v>
      </x:c>
      <x:c r="H41" s="4" t="s">
        <x:v>196</x:v>
      </x:c>
      <x:c r="I41" s="4" t="s">
        <x:v>214</x:v>
      </x:c>
      <x:c r="J41" s="4" t="s">
        <x:v>22</x:v>
      </x:c>
      <x:c r="K41" s="4" t="s">
        <x:v>215</x:v>
      </x:c>
    </x:row>
    <x:row r="42" ht="15">
      <x:c r="A42" s="4">
        <x:v>41</x:v>
      </x:c>
      <x:c r="B42" s="4" t="s">
        <x:v>75</x:v>
      </x:c>
      <x:c r="C42" s="4" t="s">
        <x:v>216</x:v>
      </x:c>
      <x:c r="D42" s="15" t="s">
        <x:v>47</x:v>
      </x:c>
      <x:c r="E42" s="4" t="s">
        <x:v>217</x:v>
      </x:c>
      <x:c r="F42" s="3">
        <x:v>1.2</x:v>
      </x:c>
      <x:c r="G42" s="3">
        <x:v>0.15</x:v>
      </x:c>
      <x:c r="H42" s="4" t="s">
        <x:v>196</x:v>
      </x:c>
      <x:c r="I42" s="4" t="s">
        <x:v>218</x:v>
      </x:c>
      <x:c r="J42" s="4" t="s">
        <x:v>22</x:v>
      </x:c>
      <x:c r="K42" s="4" t="s">
        <x:v>219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25"/>
  <x:cols>
    <x:col min="1" max="1" width="11.25" style="1" customWidth="1"/>
    <x:col min="2" max="2" width="13.25" style="1" customWidth="1"/>
    <x:col min="3" max="3" width="7" style="1" customWidth="1"/>
    <x:col min="4" max="4" width="10.5" style="1" customWidth="1"/>
    <x:col min="5" max="6" width="7" style="1" customWidth="1"/>
    <x:col min="7" max="7" width="11.5" style="1" customWidth="1"/>
    <x:col min="8" max="8" width="15.375" style="1" customWidth="1"/>
    <x:col min="9" max="9" width="17.375" style="1" customWidth="1"/>
    <x:col min="10" max="10" width="6.375" style="1" customWidth="1"/>
    <x:col min="11" max="11" width="10.5" style="1" customWidth="1"/>
    <x:col min="12" max="12" width="15.375" style="1" customWidth="1"/>
    <x:col min="13" max="13" width="8.875" style="1" customWidth="1"/>
    <x:col min="14" max="14" width="6.375" style="1" customWidth="1"/>
    <x:col min="15" max="15" width="17.375" style="1" customWidth="1"/>
    <x:col min="16" max="16" width="15.375" style="1" customWidth="1"/>
    <x:col min="17" max="17" width="24.125" style="1" customWidth="1"/>
    <x:col min="18" max="18" width="8.75" style="1" customWidth="1"/>
    <x:col min="19" max="20" width="13.625" style="1" customWidth="1"/>
    <x:col min="21" max="21" width="17.375" style="1" customWidth="1"/>
    <x:col min="22" max="22" width="10.5" style="1" customWidth="1"/>
    <x:col min="23" max="23" width="17.375" style="1" customWidth="1"/>
    <x:col min="24" max="24" width="19.25" style="1" customWidth="1"/>
    <x:col min="25" max="25" width="10.5" style="1" customWidth="1"/>
    <x:col min="26" max="26" width="12.5" style="1" customWidth="1"/>
    <x:col min="27" max="27" width="7.5" style="1" customWidth="1"/>
    <x:col min="28" max="30" width="10.5" style="1" customWidth="1"/>
    <x:col min="31" max="31" width="15.375" style="1" customWidth="1"/>
    <x:col min="32" max="32" width="17.375" style="1" customWidth="1"/>
    <x:col min="33" max="33" width="12.5" style="1" customWidth="1"/>
    <x:col min="34" max="35" width="11.625" style="1" customWidth="1"/>
    <x:col min="36" max="36" width="17.375" style="1" customWidth="1"/>
    <x:col min="37" max="37" width="7" style="1" customWidth="1"/>
    <x:col min="38" max="38" width="12.5" style="1" customWidth="1"/>
    <x:col min="39" max="39" width="17.375" style="1" customWidth="1"/>
    <x:col min="40" max="40" width="15.375" style="1" customWidth="1"/>
    <x:col min="41" max="41" width="7" style="1" customWidth="1"/>
    <x:col min="42" max="42" width="14.375" style="1" customWidth="1"/>
    <x:col min="43" max="43" width="10.5" style="1" customWidth="1"/>
    <x:col min="44" max="44" width="18.125" style="1" customWidth="1"/>
    <x:col min="45" max="45" width="16.25" style="1" customWidth="1"/>
    <x:col min="46" max="46" width="27.875" style="1" customWidth="1"/>
    <x:col min="47" max="16384" width="9" style="1" customWidth="0"/>
  </x:cols>
  <x:sheetData>
    <x:row r="1" ht="15">
      <x:c r="A1" s="13" t="s">
        <x:v>220</x:v>
      </x:c>
      <x:c r="B1" s="13" t="s">
        <x:v>221</x:v>
      </x:c>
      <x:c r="C1" s="13" t="s">
        <x:v>46</x:v>
      </x:c>
      <x:c r="D1" s="13" t="s">
        <x:v>52</x:v>
      </x:c>
      <x:c r="E1" s="13" t="s">
        <x:v>55</x:v>
      </x:c>
      <x:c r="F1" s="13" t="s">
        <x:v>59</x:v>
      </x:c>
      <x:c r="G1" s="13" t="s">
        <x:v>64</x:v>
      </x:c>
      <x:c r="H1" s="13" t="s">
        <x:v>68</x:v>
      </x:c>
      <x:c r="I1" s="13" t="s">
        <x:v>72</x:v>
      </x:c>
      <x:c r="J1" s="13" t="s">
        <x:v>76</x:v>
      </x:c>
      <x:c r="K1" s="13" t="s">
        <x:v>81</x:v>
      </x:c>
      <x:c r="L1" s="13" t="s">
        <x:v>86</x:v>
      </x:c>
      <x:c r="M1" s="13" t="s">
        <x:v>91</x:v>
      </x:c>
      <x:c r="N1" s="13" t="s">
        <x:v>96</x:v>
      </x:c>
      <x:c r="O1" s="13" t="s">
        <x:v>100</x:v>
      </x:c>
      <x:c r="P1" s="13" t="s">
        <x:v>105</x:v>
      </x:c>
      <x:c r="Q1" s="13" t="s">
        <x:v>109</x:v>
      </x:c>
      <x:c r="R1" s="13" t="s">
        <x:v>114</x:v>
      </x:c>
      <x:c r="S1" s="13" t="s">
        <x:v>119</x:v>
      </x:c>
      <x:c r="T1" s="13" t="s">
        <x:v>122</x:v>
      </x:c>
      <x:c r="U1" s="13" t="s">
        <x:v>125</x:v>
      </x:c>
      <x:c r="V1" s="13" t="s">
        <x:v>128</x:v>
      </x:c>
      <x:c r="W1" s="13" t="s">
        <x:v>132</x:v>
      </x:c>
      <x:c r="X1" s="13" t="s">
        <x:v>136</x:v>
      </x:c>
      <x:c r="Y1" s="13" t="s">
        <x:v>140</x:v>
      </x:c>
      <x:c r="Z1" s="13" t="s">
        <x:v>143</x:v>
      </x:c>
      <x:c r="AA1" s="13" t="s">
        <x:v>148</x:v>
      </x:c>
      <x:c r="AB1" s="13" t="s">
        <x:v>152</x:v>
      </x:c>
      <x:c r="AC1" s="13" t="s">
        <x:v>156</x:v>
      </x:c>
      <x:c r="AD1" s="13" t="s">
        <x:v>160</x:v>
      </x:c>
      <x:c r="AE1" s="13" t="s">
        <x:v>164</x:v>
      </x:c>
      <x:c r="AF1" s="13" t="s">
        <x:v>168</x:v>
      </x:c>
      <x:c r="AG1" s="13" t="s">
        <x:v>172</x:v>
      </x:c>
      <x:c r="AH1" s="13" t="s">
        <x:v>176</x:v>
      </x:c>
      <x:c r="AI1" s="13" t="s">
        <x:v>181</x:v>
      </x:c>
      <x:c r="AJ1" s="13" t="s">
        <x:v>185</x:v>
      </x:c>
      <x:c r="AK1" s="13" t="s">
        <x:v>190</x:v>
      </x:c>
      <x:c r="AL1" s="13" t="s">
        <x:v>194</x:v>
      </x:c>
      <x:c r="AM1" s="13" t="s">
        <x:v>199</x:v>
      </x:c>
      <x:c r="AN1" s="13" t="s">
        <x:v>202</x:v>
      </x:c>
      <x:c r="AO1" s="13" t="s">
        <x:v>207</x:v>
      </x:c>
      <x:c r="AP1" s="13" t="s">
        <x:v>212</x:v>
      </x:c>
      <x:c r="AQ1" s="13" t="s">
        <x:v>216</x:v>
      </x:c>
      <x:c r="AR1" s="13" t="s">
        <x:v>222</x:v>
      </x:c>
      <x:c r="AS1" s="13" t="s">
        <x:v>223</x:v>
      </x:c>
      <x:c r="AT1" s="13" t="s">
        <x:v>224</x:v>
      </x:c>
    </x:row>
    <x:row r="2" ht="15">
      <x:c r="A2" s="18">
        <x:v>0</x:v>
      </x:c>
      <x:c r="B2" s="19" t="s">
        <x:v>225</x:v>
      </x:c>
      <x:c r="C2" s="20">
        <x:v>0.04</x:v>
      </x:c>
      <x:c r="D2" s="20">
        <x:v>2.5000000000000001E-2</x:v>
      </x:c>
      <x:c r="E2" s="20">
        <x:v>1.7999999999999999E-2</x:v>
      </x:c>
      <x:c r="F2" s="20">
        <x:v>0.02</x:v>
      </x:c>
      <x:c r="G2" s="20">
        <x:v>1.2E-2</x:v>
      </x:c>
      <x:c r="H2" s="20">
        <x:v>8.0000000000000002E-3</x:v>
      </x:c>
      <x:c r="I2" s="20">
        <x:v>0.02</x:v>
      </x:c>
      <x:c r="J2" s="20">
        <x:v>1.4999999999999999E-2</x:v>
      </x:c>
      <x:c r="K2" s="20">
        <x:v>0</x:v>
      </x:c>
      <x:c r="L2" s="20">
        <x:v>0</x:v>
      </x:c>
      <x:c r="M2" s="20">
        <x:v>0</x:v>
      </x:c>
      <x:c r="N2" s="20">
        <x:v>0</x:v>
      </x:c>
      <x:c r="O2" s="20">
        <x:v>0</x:v>
      </x:c>
      <x:c r="P2" s="20">
        <x:v>0</x:v>
      </x:c>
      <x:c r="Q2" s="20">
        <x:v>0</x:v>
      </x:c>
      <x:c r="R2" s="20">
        <x:v>0</x:v>
      </x:c>
      <x:c r="S2" s="20">
        <x:v>0</x:v>
      </x:c>
      <x:c r="T2" s="20">
        <x:v>0</x:v>
      </x:c>
      <x:c r="U2" s="20">
        <x:v>0</x:v>
      </x:c>
      <x:c r="V2" s="20">
        <x:v>0</x:v>
      </x:c>
      <x:c r="W2" s="20">
        <x:v>0</x:v>
      </x:c>
      <x:c r="X2" s="20">
        <x:v>0</x:v>
      </x:c>
      <x:c r="Y2" s="20">
        <x:v>0</x:v>
      </x:c>
      <x:c r="Z2" s="20">
        <x:v>0</x:v>
      </x:c>
      <x:c r="AA2" s="20">
        <x:v>0</x:v>
      </x:c>
      <x:c r="AB2" s="20">
        <x:v>0</x:v>
      </x:c>
      <x:c r="AC2" s="20">
        <x:v>0</x:v>
      </x:c>
      <x:c r="AD2" s="20">
        <x:v>0</x:v>
      </x:c>
      <x:c r="AE2" s="20">
        <x:v>0</x:v>
      </x:c>
      <x:c r="AF2" s="20">
        <x:v>0</x:v>
      </x:c>
      <x:c r="AG2" s="20">
        <x:v>0</x:v>
      </x:c>
      <x:c r="AH2" s="20">
        <x:v>0</x:v>
      </x:c>
      <x:c r="AI2" s="20">
        <x:v>0</x:v>
      </x:c>
      <x:c r="AJ2" s="20">
        <x:v>0</x:v>
      </x:c>
      <x:c r="AK2" s="20">
        <x:v>0</x:v>
      </x:c>
      <x:c r="AL2" s="20">
        <x:v>0</x:v>
      </x:c>
      <x:c r="AM2" s="20">
        <x:v>0</x:v>
      </x:c>
      <x:c r="AN2" s="20">
        <x:v>0</x:v>
      </x:c>
      <x:c r="AO2" s="20">
        <x:v>0</x:v>
      </x:c>
      <x:c r="AP2" s="20">
        <x:v>0</x:v>
      </x:c>
      <x:c r="AQ2" s="20">
        <x:v>0</x:v>
      </x:c>
      <x:c r="AR2" s="20" t="n">
        <x:f>SUM(C2:AQ2)</x:f>
        <x:v>0.15799999999999997</x:v>
      </x:c>
      <x:c r="AS2" s="20" t="n">
        <x:f>AR2</x:f>
        <x:v>0.15799999999999997</x:v>
      </x:c>
      <x:c r="AT2" s="11" t="s">
        <x:v>226</x:v>
      </x:c>
    </x:row>
    <x:row r="3" ht="15">
      <x:c r="A3" s="18">
        <x:v>1</x:v>
      </x:c>
      <x:c r="B3" s="19" t="s">
        <x:v>227</x:v>
      </x:c>
      <x:c r="C3" s="20">
        <x:v>0.04</x:v>
      </x:c>
      <x:c r="D3" s="20">
        <x:v>2.5000000000000001E-2</x:v>
      </x:c>
      <x:c r="E3" s="20">
        <x:v>1.7999999999999999E-2</x:v>
      </x:c>
      <x:c r="F3" s="20">
        <x:v>0.02</x:v>
      </x:c>
      <x:c r="G3" s="20">
        <x:v>1.2E-2</x:v>
      </x:c>
      <x:c r="H3" s="20">
        <x:v>8.0000000000000002E-3</x:v>
      </x:c>
      <x:c r="I3" s="20">
        <x:v>0.02</x:v>
      </x:c>
      <x:c r="J3" s="20">
        <x:v>1.4999999999999999E-2</x:v>
      </x:c>
      <x:c r="K3" s="20">
        <x:v>0</x:v>
      </x:c>
      <x:c r="L3" s="20">
        <x:v>0</x:v>
      </x:c>
      <x:c r="M3" s="20">
        <x:v>0</x:v>
      </x:c>
      <x:c r="N3" s="20">
        <x:v>0</x:v>
      </x:c>
      <x:c r="O3" s="20">
        <x:v>0</x:v>
      </x:c>
      <x:c r="P3" s="20">
        <x:v>0</x:v>
      </x:c>
      <x:c r="Q3" s="20">
        <x:v>0</x:v>
      </x:c>
      <x:c r="R3" s="20">
        <x:v>0</x:v>
      </x:c>
      <x:c r="S3" s="20">
        <x:v>0</x:v>
      </x:c>
      <x:c r="T3" s="20">
        <x:v>0</x:v>
      </x:c>
      <x:c r="U3" s="20">
        <x:v>0</x:v>
      </x:c>
      <x:c r="V3" s="20">
        <x:v>0</x:v>
      </x:c>
      <x:c r="W3" s="20">
        <x:v>0</x:v>
      </x:c>
      <x:c r="X3" s="20">
        <x:v>0</x:v>
      </x:c>
      <x:c r="Y3" s="20">
        <x:v>0</x:v>
      </x:c>
      <x:c r="Z3" s="20">
        <x:v>0</x:v>
      </x:c>
      <x:c r="AA3" s="20">
        <x:v>0</x:v>
      </x:c>
      <x:c r="AB3" s="20">
        <x:v>0</x:v>
      </x:c>
      <x:c r="AC3" s="20">
        <x:v>0</x:v>
      </x:c>
      <x:c r="AD3" s="20">
        <x:v>0</x:v>
      </x:c>
      <x:c r="AE3" s="20">
        <x:v>0</x:v>
      </x:c>
      <x:c r="AF3" s="20">
        <x:v>0</x:v>
      </x:c>
      <x:c r="AG3" s="20">
        <x:v>0</x:v>
      </x:c>
      <x:c r="AH3" s="20">
        <x:v>0</x:v>
      </x:c>
      <x:c r="AI3" s="20">
        <x:v>0</x:v>
      </x:c>
      <x:c r="AJ3" s="20">
        <x:v>0</x:v>
      </x:c>
      <x:c r="AK3" s="20">
        <x:v>0</x:v>
      </x:c>
      <x:c r="AL3" s="20">
        <x:v>0</x:v>
      </x:c>
      <x:c r="AM3" s="20">
        <x:v>0</x:v>
      </x:c>
      <x:c r="AN3" s="20">
        <x:v>0</x:v>
      </x:c>
      <x:c r="AO3" s="20">
        <x:v>0</x:v>
      </x:c>
      <x:c r="AP3" s="20">
        <x:v>0</x:v>
      </x:c>
      <x:c r="AQ3" s="20">
        <x:v>0</x:v>
      </x:c>
      <x:c r="AR3" s="20" t="n">
        <x:f t="shared" ref="AR3:AR25" si="0">SUM(C3:AQ3)</x:f>
        <x:v>0.15799999999999997</x:v>
      </x:c>
      <x:c r="AS3" s="20" t="n">
        <x:f>AS2+AR3</x:f>
        <x:v>0.31599999999999995</x:v>
      </x:c>
      <x:c r="AT3" s="11" t="s">
        <x:v>226</x:v>
      </x:c>
    </x:row>
    <x:row r="4" ht="15">
      <x:c r="A4" s="18">
        <x:v>2</x:v>
      </x:c>
      <x:c r="B4" s="19" t="s">
        <x:v>228</x:v>
      </x:c>
      <x:c r="C4" s="20">
        <x:v>0.04</x:v>
      </x:c>
      <x:c r="D4" s="20">
        <x:v>2.5000000000000001E-2</x:v>
      </x:c>
      <x:c r="E4" s="20">
        <x:v>1.7999999999999999E-2</x:v>
      </x:c>
      <x:c r="F4" s="20">
        <x:v>0.02</x:v>
      </x:c>
      <x:c r="G4" s="20">
        <x:v>1.2E-2</x:v>
      </x:c>
      <x:c r="H4" s="20">
        <x:v>8.0000000000000002E-3</x:v>
      </x:c>
      <x:c r="I4" s="20">
        <x:v>0.02</x:v>
      </x:c>
      <x:c r="J4" s="20">
        <x:v>1.4999999999999999E-2</x:v>
      </x:c>
      <x:c r="K4" s="20">
        <x:v>0</x:v>
      </x:c>
      <x:c r="L4" s="20">
        <x:v>0</x:v>
      </x:c>
      <x:c r="M4" s="20">
        <x:v>0</x:v>
      </x:c>
      <x:c r="N4" s="20">
        <x:v>0</x:v>
      </x:c>
      <x:c r="O4" s="20">
        <x:v>0</x:v>
      </x:c>
      <x:c r="P4" s="20">
        <x:v>0</x:v>
      </x:c>
      <x:c r="Q4" s="20">
        <x:v>0</x:v>
      </x:c>
      <x:c r="R4" s="20">
        <x:v>0</x:v>
      </x:c>
      <x:c r="S4" s="20">
        <x:v>0</x:v>
      </x:c>
      <x:c r="T4" s="20">
        <x:v>0</x:v>
      </x:c>
      <x:c r="U4" s="20">
        <x:v>0</x:v>
      </x:c>
      <x:c r="V4" s="20">
        <x:v>0</x:v>
      </x:c>
      <x:c r="W4" s="20">
        <x:v>0</x:v>
      </x:c>
      <x:c r="X4" s="20">
        <x:v>0</x:v>
      </x:c>
      <x:c r="Y4" s="20">
        <x:v>0</x:v>
      </x:c>
      <x:c r="Z4" s="20">
        <x:v>0</x:v>
      </x:c>
      <x:c r="AA4" s="20">
        <x:v>0</x:v>
      </x:c>
      <x:c r="AB4" s="20">
        <x:v>0</x:v>
      </x:c>
      <x:c r="AC4" s="20">
        <x:v>0</x:v>
      </x:c>
      <x:c r="AD4" s="20">
        <x:v>0</x:v>
      </x:c>
      <x:c r="AE4" s="20">
        <x:v>0</x:v>
      </x:c>
      <x:c r="AF4" s="20">
        <x:v>0</x:v>
      </x:c>
      <x:c r="AG4" s="20">
        <x:v>0</x:v>
      </x:c>
      <x:c r="AH4" s="20">
        <x:v>0</x:v>
      </x:c>
      <x:c r="AI4" s="20">
        <x:v>0</x:v>
      </x:c>
      <x:c r="AJ4" s="20">
        <x:v>0</x:v>
      </x:c>
      <x:c r="AK4" s="20">
        <x:v>0</x:v>
      </x:c>
      <x:c r="AL4" s="20">
        <x:v>0</x:v>
      </x:c>
      <x:c r="AM4" s="20">
        <x:v>0</x:v>
      </x:c>
      <x:c r="AN4" s="20">
        <x:v>0</x:v>
      </x:c>
      <x:c r="AO4" s="20">
        <x:v>0</x:v>
      </x:c>
      <x:c r="AP4" s="20">
        <x:v>0</x:v>
      </x:c>
      <x:c r="AQ4" s="20">
        <x:v>0</x:v>
      </x:c>
      <x:c r="AR4" s="20">
        <x:f t="shared" si="0"/>
        <x:v>0.15799999999999997</x:v>
      </x:c>
      <x:c r="AS4" s="20" t="n">
        <x:f t="shared" ref="AS4:AS25" si="1">AS3+AR4</x:f>
        <x:v>0.4739999999999999</x:v>
      </x:c>
      <x:c r="AT4" s="11" t="s">
        <x:v>226</x:v>
      </x:c>
    </x:row>
    <x:row r="5" ht="15">
      <x:c r="A5" s="18">
        <x:v>3</x:v>
      </x:c>
      <x:c r="B5" s="19" t="s">
        <x:v>229</x:v>
      </x:c>
      <x:c r="C5" s="20">
        <x:v>0.04</x:v>
      </x:c>
      <x:c r="D5" s="20">
        <x:v>2.5000000000000001E-2</x:v>
      </x:c>
      <x:c r="E5" s="20">
        <x:v>1.7999999999999999E-2</x:v>
      </x:c>
      <x:c r="F5" s="20">
        <x:v>0.02</x:v>
      </x:c>
      <x:c r="G5" s="20">
        <x:v>1.2E-2</x:v>
      </x:c>
      <x:c r="H5" s="20">
        <x:v>8.0000000000000002E-3</x:v>
      </x:c>
      <x:c r="I5" s="20">
        <x:v>0.02</x:v>
      </x:c>
      <x:c r="J5" s="20">
        <x:v>1.4999999999999999E-2</x:v>
      </x:c>
      <x:c r="K5" s="20">
        <x:v>0</x:v>
      </x:c>
      <x:c r="L5" s="20">
        <x:v>0</x:v>
      </x:c>
      <x:c r="M5" s="20">
        <x:v>0</x:v>
      </x:c>
      <x:c r="N5" s="20">
        <x:v>0</x:v>
      </x:c>
      <x:c r="O5" s="20">
        <x:v>0</x:v>
      </x:c>
      <x:c r="P5" s="20">
        <x:v>0</x:v>
      </x:c>
      <x:c r="Q5" s="20">
        <x:v>0</x:v>
      </x:c>
      <x:c r="R5" s="20">
        <x:v>0</x:v>
      </x:c>
      <x:c r="S5" s="20">
        <x:v>0</x:v>
      </x:c>
      <x:c r="T5" s="20">
        <x:v>0</x:v>
      </x:c>
      <x:c r="U5" s="20">
        <x:v>0</x:v>
      </x:c>
      <x:c r="V5" s="20">
        <x:v>0</x:v>
      </x:c>
      <x:c r="W5" s="20">
        <x:v>0</x:v>
      </x:c>
      <x:c r="X5" s="20">
        <x:v>0</x:v>
      </x:c>
      <x:c r="Y5" s="20">
        <x:v>0</x:v>
      </x:c>
      <x:c r="Z5" s="20">
        <x:v>0</x:v>
      </x:c>
      <x:c r="AA5" s="20">
        <x:v>0</x:v>
      </x:c>
      <x:c r="AB5" s="20">
        <x:v>0</x:v>
      </x:c>
      <x:c r="AC5" s="20">
        <x:v>0</x:v>
      </x:c>
      <x:c r="AD5" s="20">
        <x:v>0</x:v>
      </x:c>
      <x:c r="AE5" s="20">
        <x:v>0</x:v>
      </x:c>
      <x:c r="AF5" s="20">
        <x:v>0</x:v>
      </x:c>
      <x:c r="AG5" s="20">
        <x:v>0</x:v>
      </x:c>
      <x:c r="AH5" s="20">
        <x:v>0</x:v>
      </x:c>
      <x:c r="AI5" s="20">
        <x:v>0</x:v>
      </x:c>
      <x:c r="AJ5" s="20">
        <x:v>0</x:v>
      </x:c>
      <x:c r="AK5" s="20">
        <x:v>0</x:v>
      </x:c>
      <x:c r="AL5" s="20">
        <x:v>0</x:v>
      </x:c>
      <x:c r="AM5" s="20">
        <x:v>0</x:v>
      </x:c>
      <x:c r="AN5" s="20">
        <x:v>0</x:v>
      </x:c>
      <x:c r="AO5" s="20">
        <x:v>0</x:v>
      </x:c>
      <x:c r="AP5" s="20">
        <x:v>0</x:v>
      </x:c>
      <x:c r="AQ5" s="20">
        <x:v>0</x:v>
      </x:c>
      <x:c r="AR5" s="20">
        <x:f t="shared" si="0"/>
        <x:v>0.15799999999999997</x:v>
      </x:c>
      <x:c r="AS5" s="20">
        <x:f t="shared" si="1"/>
        <x:v>0.6319999999999999</x:v>
      </x:c>
      <x:c r="AT5" s="11" t="s">
        <x:v>226</x:v>
      </x:c>
    </x:row>
    <x:row r="6" ht="15">
      <x:c r="A6" s="18">
        <x:v>4</x:v>
      </x:c>
      <x:c r="B6" s="19" t="s">
        <x:v>230</x:v>
      </x:c>
      <x:c r="C6" s="20">
        <x:v>0.04</x:v>
      </x:c>
      <x:c r="D6" s="20">
        <x:v>2.5000000000000001E-2</x:v>
      </x:c>
      <x:c r="E6" s="20">
        <x:v>1.7999999999999999E-2</x:v>
      </x:c>
      <x:c r="F6" s="20">
        <x:v>0.02</x:v>
      </x:c>
      <x:c r="G6" s="20">
        <x:v>1.2E-2</x:v>
      </x:c>
      <x:c r="H6" s="20">
        <x:v>8.0000000000000002E-3</x:v>
      </x:c>
      <x:c r="I6" s="20">
        <x:v>0.02</x:v>
      </x:c>
      <x:c r="J6" s="20">
        <x:v>1.4999999999999999E-2</x:v>
      </x:c>
      <x:c r="K6" s="20">
        <x:v>0</x:v>
      </x:c>
      <x:c r="L6" s="20">
        <x:v>0</x:v>
      </x:c>
      <x:c r="M6" s="20">
        <x:v>0</x:v>
      </x:c>
      <x:c r="N6" s="20">
        <x:v>0</x:v>
      </x:c>
      <x:c r="O6" s="20">
        <x:v>0</x:v>
      </x:c>
      <x:c r="P6" s="20">
        <x:v>0</x:v>
      </x:c>
      <x:c r="Q6" s="20">
        <x:v>0</x:v>
      </x:c>
      <x:c r="R6" s="20">
        <x:v>0</x:v>
      </x:c>
      <x:c r="S6" s="20">
        <x:v>0</x:v>
      </x:c>
      <x:c r="T6" s="20">
        <x:v>0</x:v>
      </x:c>
      <x:c r="U6" s="20">
        <x:v>0</x:v>
      </x:c>
      <x:c r="V6" s="20">
        <x:v>0</x:v>
      </x:c>
      <x:c r="W6" s="20">
        <x:v>0</x:v>
      </x:c>
      <x:c r="X6" s="20">
        <x:v>0</x:v>
      </x:c>
      <x:c r="Y6" s="20">
        <x:v>0</x:v>
      </x:c>
      <x:c r="Z6" s="20">
        <x:v>0</x:v>
      </x:c>
      <x:c r="AA6" s="20">
        <x:v>0</x:v>
      </x:c>
      <x:c r="AB6" s="20">
        <x:v>0</x:v>
      </x:c>
      <x:c r="AC6" s="20">
        <x:v>0</x:v>
      </x:c>
      <x:c r="AD6" s="20">
        <x:v>0</x:v>
      </x:c>
      <x:c r="AE6" s="20">
        <x:v>0</x:v>
      </x:c>
      <x:c r="AF6" s="20">
        <x:v>0</x:v>
      </x:c>
      <x:c r="AG6" s="20">
        <x:v>0</x:v>
      </x:c>
      <x:c r="AH6" s="20">
        <x:v>0</x:v>
      </x:c>
      <x:c r="AI6" s="20">
        <x:v>0</x:v>
      </x:c>
      <x:c r="AJ6" s="20">
        <x:v>0</x:v>
      </x:c>
      <x:c r="AK6" s="20">
        <x:v>0</x:v>
      </x:c>
      <x:c r="AL6" s="20">
        <x:v>0</x:v>
      </x:c>
      <x:c r="AM6" s="20">
        <x:v>0</x:v>
      </x:c>
      <x:c r="AN6" s="20">
        <x:v>0</x:v>
      </x:c>
      <x:c r="AO6" s="20">
        <x:v>0</x:v>
      </x:c>
      <x:c r="AP6" s="20">
        <x:v>0</x:v>
      </x:c>
      <x:c r="AQ6" s="20">
        <x:v>0</x:v>
      </x:c>
      <x:c r="AR6" s="20">
        <x:f t="shared" si="0"/>
        <x:v>0.15799999999999997</x:v>
      </x:c>
      <x:c r="AS6" s="20">
        <x:f t="shared" si="1"/>
        <x:v>0.78999999999999981</x:v>
      </x:c>
      <x:c r="AT6" s="11" t="s">
        <x:v>226</x:v>
      </x:c>
    </x:row>
    <x:row r="7" ht="15">
      <x:c r="A7" s="18">
        <x:v>5</x:v>
      </x:c>
      <x:c r="B7" s="19" t="s">
        <x:v>231</x:v>
      </x:c>
      <x:c r="C7" s="20">
        <x:v>0.04</x:v>
      </x:c>
      <x:c r="D7" s="20">
        <x:v>2.5000000000000001E-2</x:v>
      </x:c>
      <x:c r="E7" s="20">
        <x:v>1.7999999999999999E-2</x:v>
      </x:c>
      <x:c r="F7" s="20">
        <x:v>0.02</x:v>
      </x:c>
      <x:c r="G7" s="20">
        <x:v>1.2E-2</x:v>
      </x:c>
      <x:c r="H7" s="20">
        <x:v>8.0000000000000002E-3</x:v>
      </x:c>
      <x:c r="I7" s="20">
        <x:v>0.02</x:v>
      </x:c>
      <x:c r="J7" s="20">
        <x:v>1.4999999999999999E-2</x:v>
      </x:c>
      <x:c r="K7" s="20">
        <x:v>0</x:v>
      </x:c>
      <x:c r="L7" s="20">
        <x:v>0</x:v>
      </x:c>
      <x:c r="M7" s="20">
        <x:v>0</x:v>
      </x:c>
      <x:c r="N7" s="20">
        <x:v>0</x:v>
      </x:c>
      <x:c r="O7" s="20">
        <x:v>0</x:v>
      </x:c>
      <x:c r="P7" s="20">
        <x:v>0</x:v>
      </x:c>
      <x:c r="Q7" s="20">
        <x:v>0</x:v>
      </x:c>
      <x:c r="R7" s="20">
        <x:v>0</x:v>
      </x:c>
      <x:c r="S7" s="20">
        <x:v>0</x:v>
      </x:c>
      <x:c r="T7" s="20">
        <x:v>0</x:v>
      </x:c>
      <x:c r="U7" s="20">
        <x:v>0</x:v>
      </x:c>
      <x:c r="V7" s="20">
        <x:v>0</x:v>
      </x:c>
      <x:c r="W7" s="20">
        <x:v>0</x:v>
      </x:c>
      <x:c r="X7" s="20">
        <x:v>0</x:v>
      </x:c>
      <x:c r="Y7" s="20">
        <x:v>0</x:v>
      </x:c>
      <x:c r="Z7" s="20">
        <x:v>0</x:v>
      </x:c>
      <x:c r="AA7" s="20">
        <x:v>0</x:v>
      </x:c>
      <x:c r="AB7" s="20">
        <x:v>0</x:v>
      </x:c>
      <x:c r="AC7" s="20">
        <x:v>0</x:v>
      </x:c>
      <x:c r="AD7" s="20">
        <x:v>0</x:v>
      </x:c>
      <x:c r="AE7" s="20">
        <x:v>0</x:v>
      </x:c>
      <x:c r="AF7" s="20">
        <x:v>0</x:v>
      </x:c>
      <x:c r="AG7" s="20">
        <x:v>0</x:v>
      </x:c>
      <x:c r="AH7" s="20">
        <x:v>0</x:v>
      </x:c>
      <x:c r="AI7" s="20">
        <x:v>0</x:v>
      </x:c>
      <x:c r="AJ7" s="20">
        <x:v>0</x:v>
      </x:c>
      <x:c r="AK7" s="20">
        <x:v>0</x:v>
      </x:c>
      <x:c r="AL7" s="20">
        <x:v>0</x:v>
      </x:c>
      <x:c r="AM7" s="20">
        <x:v>0</x:v>
      </x:c>
      <x:c r="AN7" s="20">
        <x:v>0</x:v>
      </x:c>
      <x:c r="AO7" s="20">
        <x:v>0</x:v>
      </x:c>
      <x:c r="AP7" s="20">
        <x:v>0</x:v>
      </x:c>
      <x:c r="AQ7" s="20">
        <x:v>0</x:v>
      </x:c>
      <x:c r="AR7" s="20">
        <x:f t="shared" si="0"/>
        <x:v>0.15799999999999997</x:v>
      </x:c>
      <x:c r="AS7" s="20">
        <x:f t="shared" si="1"/>
        <x:v>0.94799999999999973</x:v>
      </x:c>
      <x:c r="AT7" s="11" t="s">
        <x:v>226</x:v>
      </x:c>
    </x:row>
    <x:row r="8" ht="15">
      <x:c r="A8" s="18">
        <x:v>6</x:v>
      </x:c>
      <x:c r="B8" s="19" t="s">
        <x:v>232</x:v>
      </x:c>
      <x:c r="C8" s="20">
        <x:v>0.04</x:v>
      </x:c>
      <x:c r="D8" s="20">
        <x:v>2.5000000000000001E-2</x:v>
      </x:c>
      <x:c r="E8" s="20">
        <x:v>1.7999999999999999E-2</x:v>
      </x:c>
      <x:c r="F8" s="20">
        <x:v>0.04</x:v>
      </x:c>
      <x:c r="G8" s="20">
        <x:v>1.2E-2</x:v>
      </x:c>
      <x:c r="H8" s="20">
        <x:v>8.0000000000000002E-3</x:v>
      </x:c>
      <x:c r="I8" s="20">
        <x:v>0.02</x:v>
      </x:c>
      <x:c r="J8" s="20">
        <x:v>1.4999999999999999E-2</x:v>
      </x:c>
      <x:c r="K8" s="20">
        <x:v>2.5000000000000001E-2</x:v>
      </x:c>
      <x:c r="L8" s="20">
        <x:v>0.03</x:v>
      </x:c>
      <x:c r="M8" s="20">
        <x:v>0.06</x:v>
      </x:c>
      <x:c r="N8" s="20">
        <x:v>0</x:v>
      </x:c>
      <x:c r="O8" s="20">
        <x:v>0</x:v>
      </x:c>
      <x:c r="P8" s="20">
        <x:v>0</x:v>
      </x:c>
      <x:c r="Q8" s="20">
        <x:v>0</x:v>
      </x:c>
      <x:c r="R8" s="20">
        <x:v>0</x:v>
      </x:c>
      <x:c r="S8" s="20">
        <x:v>0.25</x:v>
      </x:c>
      <x:c r="T8" s="20">
        <x:v>0</x:v>
      </x:c>
      <x:c r="U8" s="20">
        <x:v>0.2</x:v>
      </x:c>
      <x:c r="V8" s="20">
        <x:v>0.04</x:v>
      </x:c>
      <x:c r="W8" s="20">
        <x:v>0</x:v>
      </x:c>
      <x:c r="X8" s="20">
        <x:v>0.12</x:v>
      </x:c>
      <x:c r="Y8" s="20">
        <x:v>0</x:v>
      </x:c>
      <x:c r="Z8" s="20">
        <x:v>0</x:v>
      </x:c>
      <x:c r="AA8" s="20">
        <x:v>0</x:v>
      </x:c>
      <x:c r="AB8" s="20">
        <x:v>0</x:v>
      </x:c>
      <x:c r="AC8" s="20">
        <x:v>0</x:v>
      </x:c>
      <x:c r="AD8" s="20">
        <x:v>0</x:v>
      </x:c>
      <x:c r="AE8" s="20">
        <x:v>0</x:v>
      </x:c>
      <x:c r="AF8" s="20">
        <x:v>0</x:v>
      </x:c>
      <x:c r="AG8" s="20">
        <x:v>0</x:v>
      </x:c>
      <x:c r="AH8" s="20">
        <x:v>0</x:v>
      </x:c>
      <x:c r="AI8" s="20">
        <x:v>0</x:v>
      </x:c>
      <x:c r="AJ8" s="20">
        <x:v>0</x:v>
      </x:c>
      <x:c r="AK8" s="20">
        <x:v>0</x:v>
      </x:c>
      <x:c r="AL8" s="20">
        <x:v>0</x:v>
      </x:c>
      <x:c r="AM8" s="20">
        <x:v>0</x:v>
      </x:c>
      <x:c r="AN8" s="20">
        <x:v>0</x:v>
      </x:c>
      <x:c r="AO8" s="20">
        <x:v>0</x:v>
      </x:c>
      <x:c r="AP8" s="20">
        <x:v>0</x:v>
      </x:c>
      <x:c r="AQ8" s="20">
        <x:v>0</x:v>
      </x:c>
      <x:c r="AR8" s="20">
        <x:f t="shared" si="0"/>
        <x:v>0.90299999999999991</x:v>
      </x:c>
      <x:c r="AS8" s="20">
        <x:f t="shared" si="1"/>
        <x:v>1.8509999999999995</x:v>
      </x:c>
      <x:c r="AT8" s="11" t="s">
        <x:v>233</x:v>
      </x:c>
    </x:row>
    <x:row r="9" ht="15">
      <x:c r="A9" s="18">
        <x:v>7</x:v>
      </x:c>
      <x:c r="B9" s="19" t="s">
        <x:v>234</x:v>
      </x:c>
      <x:c r="C9" s="20">
        <x:v>0.04</x:v>
      </x:c>
      <x:c r="D9" s="20">
        <x:v>2.5000000000000001E-2</x:v>
      </x:c>
      <x:c r="E9" s="20">
        <x:v>1.7999999999999999E-2</x:v>
      </x:c>
      <x:c r="F9" s="20">
        <x:v>0.04</x:v>
      </x:c>
      <x:c r="G9" s="20">
        <x:v>1.2E-2</x:v>
      </x:c>
      <x:c r="H9" s="20">
        <x:v>8.0000000000000002E-3</x:v>
      </x:c>
      <x:c r="I9" s="20">
        <x:v>0.02</x:v>
      </x:c>
      <x:c r="J9" s="20">
        <x:v>1.4999999999999999E-2</x:v>
      </x:c>
      <x:c r="K9" s="20">
        <x:v>2.5000000000000001E-2</x:v>
      </x:c>
      <x:c r="L9" s="20">
        <x:v>0.03</x:v>
      </x:c>
      <x:c r="M9" s="20">
        <x:v>0.1</x:v>
      </x:c>
      <x:c r="N9" s="20">
        <x:v>0.04</x:v>
      </x:c>
      <x:c r="O9" s="20">
        <x:v>0</x:v>
      </x:c>
      <x:c r="P9" s="20">
        <x:v>0</x:v>
      </x:c>
      <x:c r="Q9" s="20">
        <x:v>0</x:v>
      </x:c>
      <x:c r="R9" s="20">
        <x:v>0</x:v>
      </x:c>
      <x:c r="S9" s="20">
        <x:v>0</x:v>
      </x:c>
      <x:c r="T9" s="20">
        <x:v>0.03</x:v>
      </x:c>
      <x:c r="U9" s="20">
        <x:v>0.35</x:v>
      </x:c>
      <x:c r="V9" s="20">
        <x:v>0</x:v>
      </x:c>
      <x:c r="W9" s="20">
        <x:v>0</x:v>
      </x:c>
      <x:c r="X9" s="20">
        <x:v>0.05</x:v>
      </x:c>
      <x:c r="Y9" s="20">
        <x:v>0</x:v>
      </x:c>
      <x:c r="Z9" s="20">
        <x:v>0</x:v>
      </x:c>
      <x:c r="AA9" s="20">
        <x:v>0</x:v>
      </x:c>
      <x:c r="AB9" s="20">
        <x:v>0</x:v>
      </x:c>
      <x:c r="AC9" s="20">
        <x:v>0</x:v>
      </x:c>
      <x:c r="AD9" s="20">
        <x:v>0</x:v>
      </x:c>
      <x:c r="AE9" s="20">
        <x:v>0</x:v>
      </x:c>
      <x:c r="AF9" s="20">
        <x:v>0</x:v>
      </x:c>
      <x:c r="AG9" s="20">
        <x:v>0.15</x:v>
      </x:c>
      <x:c r="AH9" s="20">
        <x:v>0</x:v>
      </x:c>
      <x:c r="AI9" s="20">
        <x:v>0</x:v>
      </x:c>
      <x:c r="AJ9" s="20">
        <x:v>0</x:v>
      </x:c>
      <x:c r="AK9" s="20">
        <x:v>0</x:v>
      </x:c>
      <x:c r="AL9" s="20">
        <x:v>0</x:v>
      </x:c>
      <x:c r="AM9" s="20">
        <x:v>0</x:v>
      </x:c>
      <x:c r="AN9" s="20">
        <x:v>0</x:v>
      </x:c>
      <x:c r="AO9" s="20">
        <x:v>0</x:v>
      </x:c>
      <x:c r="AP9" s="20">
        <x:v>0</x:v>
      </x:c>
      <x:c r="AQ9" s="20">
        <x:v>0</x:v>
      </x:c>
      <x:c r="AR9" s="20">
        <x:f t="shared" si="0"/>
        <x:v>0.95299999999999996</x:v>
      </x:c>
      <x:c r="AS9" s="20">
        <x:f t="shared" si="1"/>
        <x:v>2.8039999999999994</x:v>
      </x:c>
      <x:c r="AT9" s="11" t="s">
        <x:v>235</x:v>
      </x:c>
    </x:row>
    <x:row r="10" ht="15">
      <x:c r="A10" s="18">
        <x:v>8</x:v>
      </x:c>
      <x:c r="B10" s="19" t="s">
        <x:v>236</x:v>
      </x:c>
      <x:c r="C10" s="20">
        <x:v>0.04</x:v>
      </x:c>
      <x:c r="D10" s="20">
        <x:v>2.5000000000000001E-2</x:v>
      </x:c>
      <x:c r="E10" s="20">
        <x:v>1.7999999999999999E-2</x:v>
      </x:c>
      <x:c r="F10" s="20">
        <x:v>0.04</x:v>
      </x:c>
      <x:c r="G10" s="20">
        <x:v>1.2E-2</x:v>
      </x:c>
      <x:c r="H10" s="20">
        <x:v>8.0000000000000002E-3</x:v>
      </x:c>
      <x:c r="I10" s="20">
        <x:v>0.02</x:v>
      </x:c>
      <x:c r="J10" s="20">
        <x:v>1.4999999999999999E-2</x:v>
      </x:c>
      <x:c r="K10" s="20">
        <x:v>2.5000000000000001E-2</x:v>
      </x:c>
      <x:c r="L10" s="20">
        <x:v>0</x:v>
      </x:c>
      <x:c r="M10" s="20">
        <x:v>0</x:v>
      </x:c>
      <x:c r="N10" s="20">
        <x:v>0</x:v>
      </x:c>
      <x:c r="O10" s="20">
        <x:v>0</x:v>
      </x:c>
      <x:c r="P10" s="20">
        <x:v>0</x:v>
      </x:c>
      <x:c r="Q10" s="20">
        <x:v>0</x:v>
      </x:c>
      <x:c r="R10" s="20">
        <x:v>0</x:v>
      </x:c>
      <x:c r="S10" s="20">
        <x:v>0</x:v>
      </x:c>
      <x:c r="T10" s="20">
        <x:v>0.03</x:v>
      </x:c>
      <x:c r="U10" s="20">
        <x:v>0</x:v>
      </x:c>
      <x:c r="V10" s="20">
        <x:v>0</x:v>
      </x:c>
      <x:c r="W10" s="20">
        <x:v>0</x:v>
      </x:c>
      <x:c r="X10" s="20">
        <x:v>0</x:v>
      </x:c>
      <x:c r="Y10" s="20">
        <x:v>0</x:v>
      </x:c>
      <x:c r="Z10" s="20">
        <x:v>0</x:v>
      </x:c>
      <x:c r="AA10" s="20">
        <x:v>0</x:v>
      </x:c>
      <x:c r="AB10" s="20">
        <x:v>0</x:v>
      </x:c>
      <x:c r="AC10" s="20">
        <x:v>0</x:v>
      </x:c>
      <x:c r="AD10" s="20">
        <x:v>0</x:v>
      </x:c>
      <x:c r="AE10" s="20">
        <x:v>0</x:v>
      </x:c>
      <x:c r="AF10" s="20">
        <x:v>0</x:v>
      </x:c>
      <x:c r="AG10" s="20">
        <x:v>0</x:v>
      </x:c>
      <x:c r="AH10" s="20">
        <x:v>0</x:v>
      </x:c>
      <x:c r="AI10" s="20">
        <x:v>0</x:v>
      </x:c>
      <x:c r="AJ10" s="20">
        <x:v>0</x:v>
      </x:c>
      <x:c r="AK10" s="20">
        <x:v>0</x:v>
      </x:c>
      <x:c r="AL10" s="20">
        <x:v>0</x:v>
      </x:c>
      <x:c r="AM10" s="20">
        <x:v>0</x:v>
      </x:c>
      <x:c r="AN10" s="20">
        <x:v>0</x:v>
      </x:c>
      <x:c r="AO10" s="20">
        <x:v>0</x:v>
      </x:c>
      <x:c r="AP10" s="20">
        <x:v>0</x:v>
      </x:c>
      <x:c r="AQ10" s="20">
        <x:v>0</x:v>
      </x:c>
      <x:c r="AR10" s="20">
        <x:f t="shared" si="0"/>
        <x:v>0.23299999999999998</x:v>
      </x:c>
      <x:c r="AS10" s="20">
        <x:f t="shared" si="1"/>
        <x:v>3.0369999999999995</x:v>
      </x:c>
      <x:c r="AT10" s="11" t="s">
        <x:v>237</x:v>
      </x:c>
    </x:row>
    <x:row r="11" ht="15">
      <x:c r="A11" s="18">
        <x:v>9</x:v>
      </x:c>
      <x:c r="B11" s="19" t="s">
        <x:v>238</x:v>
      </x:c>
      <x:c r="C11" s="20">
        <x:v>0.04</x:v>
      </x:c>
      <x:c r="D11" s="20">
        <x:v>2.5000000000000001E-2</x:v>
      </x:c>
      <x:c r="E11" s="20">
        <x:v>1.7999999999999999E-2</x:v>
      </x:c>
      <x:c r="F11" s="20">
        <x:v>0.04</x:v>
      </x:c>
      <x:c r="G11" s="20">
        <x:v>1.2E-2</x:v>
      </x:c>
      <x:c r="H11" s="20">
        <x:v>8.0000000000000002E-3</x:v>
      </x:c>
      <x:c r="I11" s="20">
        <x:v>0.02</x:v>
      </x:c>
      <x:c r="J11" s="20">
        <x:v>1.4999999999999999E-2</x:v>
      </x:c>
      <x:c r="K11" s="20">
        <x:v>2.5000000000000001E-2</x:v>
      </x:c>
      <x:c r="L11" s="20">
        <x:v>0</x:v>
      </x:c>
      <x:c r="M11" s="20">
        <x:v>0</x:v>
      </x:c>
      <x:c r="N11" s="20">
        <x:v>0</x:v>
      </x:c>
      <x:c r="O11" s="20">
        <x:v>0</x:v>
      </x:c>
      <x:c r="P11" s="20">
        <x:v>0</x:v>
      </x:c>
      <x:c r="Q11" s="20">
        <x:v>0</x:v>
      </x:c>
      <x:c r="R11" s="20">
        <x:v>0</x:v>
      </x:c>
      <x:c r="S11" s="20">
        <x:v>0</x:v>
      </x:c>
      <x:c r="T11" s="20">
        <x:v>0.03</x:v>
      </x:c>
      <x:c r="U11" s="20">
        <x:v>0</x:v>
      </x:c>
      <x:c r="V11" s="20">
        <x:v>0</x:v>
      </x:c>
      <x:c r="W11" s="20">
        <x:v>0</x:v>
      </x:c>
      <x:c r="X11" s="20">
        <x:v>0</x:v>
      </x:c>
      <x:c r="Y11" s="20">
        <x:v>0</x:v>
      </x:c>
      <x:c r="Z11" s="20">
        <x:v>0</x:v>
      </x:c>
      <x:c r="AA11" s="20">
        <x:v>0</x:v>
      </x:c>
      <x:c r="AB11" s="20">
        <x:v>0</x:v>
      </x:c>
      <x:c r="AC11" s="20">
        <x:v>0</x:v>
      </x:c>
      <x:c r="AD11" s="20">
        <x:v>0</x:v>
      </x:c>
      <x:c r="AE11" s="20">
        <x:v>0</x:v>
      </x:c>
      <x:c r="AF11" s="20">
        <x:v>0</x:v>
      </x:c>
      <x:c r="AG11" s="20">
        <x:v>0</x:v>
      </x:c>
      <x:c r="AH11" s="20">
        <x:v>0</x:v>
      </x:c>
      <x:c r="AI11" s="20">
        <x:v>0</x:v>
      </x:c>
      <x:c r="AJ11" s="20">
        <x:v>0</x:v>
      </x:c>
      <x:c r="AK11" s="20">
        <x:v>0</x:v>
      </x:c>
      <x:c r="AL11" s="20">
        <x:v>0</x:v>
      </x:c>
      <x:c r="AM11" s="20">
        <x:v>0</x:v>
      </x:c>
      <x:c r="AN11" s="20">
        <x:v>0</x:v>
      </x:c>
      <x:c r="AO11" s="20">
        <x:v>0</x:v>
      </x:c>
      <x:c r="AP11" s="20">
        <x:v>0</x:v>
      </x:c>
      <x:c r="AQ11" s="20">
        <x:v>0</x:v>
      </x:c>
      <x:c r="AR11" s="20">
        <x:f t="shared" si="0"/>
        <x:v>0.23299999999999998</x:v>
      </x:c>
      <x:c r="AS11" s="20">
        <x:f t="shared" si="1"/>
        <x:v>3.2699999999999996</x:v>
      </x:c>
      <x:c r="AT11" s="11" t="s">
        <x:v>237</x:v>
      </x:c>
    </x:row>
    <x:row r="12" ht="15">
      <x:c r="A12" s="21">
        <x:v>10</x:v>
      </x:c>
      <x:c r="B12" s="19" t="s">
        <x:v>239</x:v>
      </x:c>
      <x:c r="C12" s="20">
        <x:v>0.04</x:v>
      </x:c>
      <x:c r="D12" s="20">
        <x:v>2.5000000000000001E-2</x:v>
      </x:c>
      <x:c r="E12" s="20">
        <x:v>1.7999999999999999E-2</x:v>
      </x:c>
      <x:c r="F12" s="20">
        <x:v>0.04</x:v>
      </x:c>
      <x:c r="G12" s="20">
        <x:v>1.2E-2</x:v>
      </x:c>
      <x:c r="H12" s="20">
        <x:v>8.0000000000000002E-3</x:v>
      </x:c>
      <x:c r="I12" s="20">
        <x:v>0.02</x:v>
      </x:c>
      <x:c r="J12" s="20">
        <x:v>1.4999999999999999E-2</x:v>
      </x:c>
      <x:c r="K12" s="20">
        <x:v>2.5000000000000001E-2</x:v>
      </x:c>
      <x:c r="L12" s="20">
        <x:v>0</x:v>
      </x:c>
      <x:c r="M12" s="20">
        <x:v>0</x:v>
      </x:c>
      <x:c r="N12" s="20">
        <x:v>0</x:v>
      </x:c>
      <x:c r="O12" s="20">
        <x:v>0</x:v>
      </x:c>
      <x:c r="P12" s="20">
        <x:v>0</x:v>
      </x:c>
      <x:c r="Q12" s="20">
        <x:v>0</x:v>
      </x:c>
      <x:c r="R12" s="20">
        <x:v>0</x:v>
      </x:c>
      <x:c r="S12" s="20">
        <x:v>0</x:v>
      </x:c>
      <x:c r="T12" s="20">
        <x:v>0.03</x:v>
      </x:c>
      <x:c r="U12" s="20">
        <x:v>0</x:v>
      </x:c>
      <x:c r="V12" s="20">
        <x:v>0</x:v>
      </x:c>
      <x:c r="W12" s="20">
        <x:v>0</x:v>
      </x:c>
      <x:c r="X12" s="20">
        <x:v>0</x:v>
      </x:c>
      <x:c r="Y12" s="20">
        <x:v>0</x:v>
      </x:c>
      <x:c r="Z12" s="20">
        <x:v>0</x:v>
      </x:c>
      <x:c r="AA12" s="20">
        <x:v>0</x:v>
      </x:c>
      <x:c r="AB12" s="20">
        <x:v>0</x:v>
      </x:c>
      <x:c r="AC12" s="20">
        <x:v>0</x:v>
      </x:c>
      <x:c r="AD12" s="20">
        <x:v>0.05</x:v>
      </x:c>
      <x:c r="AE12" s="20">
        <x:v>0</x:v>
      </x:c>
      <x:c r="AF12" s="20">
        <x:v>0</x:v>
      </x:c>
      <x:c r="AG12" s="20">
        <x:v>0</x:v>
      </x:c>
      <x:c r="AH12" s="20">
        <x:v>0</x:v>
      </x:c>
      <x:c r="AI12" s="20">
        <x:v>0</x:v>
      </x:c>
      <x:c r="AJ12" s="20">
        <x:v>0</x:v>
      </x:c>
      <x:c r="AK12" s="20">
        <x:v>0</x:v>
      </x:c>
      <x:c r="AL12" s="20">
        <x:v>0</x:v>
      </x:c>
      <x:c r="AM12" s="20">
        <x:v>0</x:v>
      </x:c>
      <x:c r="AN12" s="20">
        <x:v>0</x:v>
      </x:c>
      <x:c r="AO12" s="20">
        <x:v>0</x:v>
      </x:c>
      <x:c r="AP12" s="20">
        <x:v>0</x:v>
      </x:c>
      <x:c r="AQ12" s="20">
        <x:v>0</x:v>
      </x:c>
      <x:c r="AR12" s="20">
        <x:f t="shared" si="0"/>
        <x:v>0.28299999999999997</x:v>
      </x:c>
      <x:c r="AS12" s="20">
        <x:f t="shared" si="1"/>
        <x:v>3.5529999999999995</x:v>
      </x:c>
      <x:c r="AT12" s="11" t="s">
        <x:v>240</x:v>
      </x:c>
    </x:row>
    <x:row r="13" ht="15">
      <x:c r="A13" s="21">
        <x:v>11</x:v>
      </x:c>
      <x:c r="B13" s="19" t="s">
        <x:v>241</x:v>
      </x:c>
      <x:c r="C13" s="20">
        <x:v>0.04</x:v>
      </x:c>
      <x:c r="D13" s="20">
        <x:v>2.5000000000000001E-2</x:v>
      </x:c>
      <x:c r="E13" s="20">
        <x:v>1.7999999999999999E-2</x:v>
      </x:c>
      <x:c r="F13" s="20">
        <x:v>0.04</x:v>
      </x:c>
      <x:c r="G13" s="20">
        <x:v>1.2E-2</x:v>
      </x:c>
      <x:c r="H13" s="20">
        <x:v>8.0000000000000002E-3</x:v>
      </x:c>
      <x:c r="I13" s="20">
        <x:v>0.02</x:v>
      </x:c>
      <x:c r="J13" s="20">
        <x:v>1.4999999999999999E-2</x:v>
      </x:c>
      <x:c r="K13" s="20">
        <x:v>2.5000000000000001E-2</x:v>
      </x:c>
      <x:c r="L13" s="20">
        <x:v>0</x:v>
      </x:c>
      <x:c r="M13" s="20">
        <x:v>0</x:v>
      </x:c>
      <x:c r="N13" s="20">
        <x:v>0</x:v>
      </x:c>
      <x:c r="O13" s="20">
        <x:v>0</x:v>
      </x:c>
      <x:c r="P13" s="20">
        <x:v>0</x:v>
      </x:c>
      <x:c r="Q13" s="20">
        <x:v>0</x:v>
      </x:c>
      <x:c r="R13" s="20">
        <x:v>0</x:v>
      </x:c>
      <x:c r="S13" s="20">
        <x:v>0</x:v>
      </x:c>
      <x:c r="T13" s="20">
        <x:v>0.03</x:v>
      </x:c>
      <x:c r="U13" s="20">
        <x:v>0</x:v>
      </x:c>
      <x:c r="V13" s="20">
        <x:v>0</x:v>
      </x:c>
      <x:c r="W13" s="20">
        <x:v>0</x:v>
      </x:c>
      <x:c r="X13" s="20">
        <x:v>0</x:v>
      </x:c>
      <x:c r="Y13" s="20">
        <x:v>0</x:v>
      </x:c>
      <x:c r="Z13" s="20">
        <x:v>0</x:v>
      </x:c>
      <x:c r="AA13" s="20">
        <x:v>0</x:v>
      </x:c>
      <x:c r="AB13" s="20">
        <x:v>0</x:v>
      </x:c>
      <x:c r="AC13" s="20">
        <x:v>0</x:v>
      </x:c>
      <x:c r="AD13" s="20">
        <x:v>0</x:v>
      </x:c>
      <x:c r="AE13" s="20">
        <x:v>0</x:v>
      </x:c>
      <x:c r="AF13" s="20">
        <x:v>0</x:v>
      </x:c>
      <x:c r="AG13" s="20">
        <x:v>0</x:v>
      </x:c>
      <x:c r="AH13" s="20">
        <x:v>0</x:v>
      </x:c>
      <x:c r="AI13" s="20">
        <x:v>0</x:v>
      </x:c>
      <x:c r="AJ13" s="20">
        <x:v>0</x:v>
      </x:c>
      <x:c r="AK13" s="20">
        <x:v>0</x:v>
      </x:c>
      <x:c r="AL13" s="20">
        <x:v>0</x:v>
      </x:c>
      <x:c r="AM13" s="20">
        <x:v>0</x:v>
      </x:c>
      <x:c r="AN13" s="20">
        <x:v>0</x:v>
      </x:c>
      <x:c r="AO13" s="20">
        <x:v>0</x:v>
      </x:c>
      <x:c r="AP13" s="20">
        <x:v>0</x:v>
      </x:c>
      <x:c r="AQ13" s="20">
        <x:v>0</x:v>
      </x:c>
      <x:c r="AR13" s="20">
        <x:f t="shared" si="0"/>
        <x:v>0.23299999999999998</x:v>
      </x:c>
      <x:c r="AS13" s="20">
        <x:f t="shared" si="1"/>
        <x:v>3.7859999999999996</x:v>
      </x:c>
      <x:c r="AT13" s="11" t="s">
        <x:v>237</x:v>
      </x:c>
    </x:row>
    <x:row r="14" ht="15">
      <x:c r="A14" s="21">
        <x:v>12</x:v>
      </x:c>
      <x:c r="B14" s="19" t="s">
        <x:v>242</x:v>
      </x:c>
      <x:c r="C14" s="20">
        <x:v>0.04</x:v>
      </x:c>
      <x:c r="D14" s="20">
        <x:v>2.5000000000000001E-2</x:v>
      </x:c>
      <x:c r="E14" s="20">
        <x:v>1.7999999999999999E-2</x:v>
      </x:c>
      <x:c r="F14" s="20">
        <x:v>0.04</x:v>
      </x:c>
      <x:c r="G14" s="20">
        <x:v>1.2E-2</x:v>
      </x:c>
      <x:c r="H14" s="20">
        <x:v>8.0000000000000002E-3</x:v>
      </x:c>
      <x:c r="I14" s="20">
        <x:v>0.02</x:v>
      </x:c>
      <x:c r="J14" s="20">
        <x:v>1.4999999999999999E-2</x:v>
      </x:c>
      <x:c r="K14" s="20">
        <x:v>2.5000000000000001E-2</x:v>
      </x:c>
      <x:c r="L14" s="20">
        <x:v>0</x:v>
      </x:c>
      <x:c r="M14" s="20">
        <x:v>0</x:v>
      </x:c>
      <x:c r="N14" s="20">
        <x:v>0</x:v>
      </x:c>
      <x:c r="O14" s="20">
        <x:v>0</x:v>
      </x:c>
      <x:c r="P14" s="20">
        <x:v>0</x:v>
      </x:c>
      <x:c r="Q14" s="20">
        <x:v>0</x:v>
      </x:c>
      <x:c r="R14" s="20">
        <x:v>0</x:v>
      </x:c>
      <x:c r="S14" s="20">
        <x:v>0</x:v>
      </x:c>
      <x:c r="T14" s="20">
        <x:v>0.03</x:v>
      </x:c>
      <x:c r="U14" s="20">
        <x:v>0</x:v>
      </x:c>
      <x:c r="V14" s="20">
        <x:v>0</x:v>
      </x:c>
      <x:c r="W14" s="20">
        <x:v>0</x:v>
      </x:c>
      <x:c r="X14" s="20">
        <x:v>0</x:v>
      </x:c>
      <x:c r="Y14" s="20">
        <x:v>0</x:v>
      </x:c>
      <x:c r="Z14" s="20">
        <x:v>0</x:v>
      </x:c>
      <x:c r="AA14" s="20">
        <x:v>0</x:v>
      </x:c>
      <x:c r="AB14" s="20">
        <x:v>0</x:v>
      </x:c>
      <x:c r="AC14" s="20">
        <x:v>0</x:v>
      </x:c>
      <x:c r="AD14" s="20">
        <x:v>0</x:v>
      </x:c>
      <x:c r="AE14" s="20">
        <x:v>0</x:v>
      </x:c>
      <x:c r="AF14" s="20">
        <x:v>0</x:v>
      </x:c>
      <x:c r="AG14" s="20">
        <x:v>0</x:v>
      </x:c>
      <x:c r="AH14" s="20">
        <x:v>0</x:v>
      </x:c>
      <x:c r="AI14" s="20">
        <x:v>0</x:v>
      </x:c>
      <x:c r="AJ14" s="20">
        <x:v>0</x:v>
      </x:c>
      <x:c r="AK14" s="20">
        <x:v>0</x:v>
      </x:c>
      <x:c r="AL14" s="20">
        <x:v>0</x:v>
      </x:c>
      <x:c r="AM14" s="20">
        <x:v>0</x:v>
      </x:c>
      <x:c r="AN14" s="20">
        <x:v>0</x:v>
      </x:c>
      <x:c r="AO14" s="20">
        <x:v>0</x:v>
      </x:c>
      <x:c r="AP14" s="20">
        <x:v>0</x:v>
      </x:c>
      <x:c r="AQ14" s="20">
        <x:v>0</x:v>
      </x:c>
      <x:c r="AR14" s="20">
        <x:f t="shared" si="0"/>
        <x:v>0.23299999999999998</x:v>
      </x:c>
      <x:c r="AS14" s="20">
        <x:f t="shared" si="1"/>
        <x:v>4.0189999999999992</x:v>
      </x:c>
      <x:c r="AT14" s="11" t="s">
        <x:v>237</x:v>
      </x:c>
    </x:row>
    <x:row r="15" ht="15">
      <x:c r="A15" s="21">
        <x:v>13</x:v>
      </x:c>
      <x:c r="B15" s="19" t="s">
        <x:v>243</x:v>
      </x:c>
      <x:c r="C15" s="20">
        <x:v>0.04</x:v>
      </x:c>
      <x:c r="D15" s="20">
        <x:v>2.5000000000000001E-2</x:v>
      </x:c>
      <x:c r="E15" s="20">
        <x:v>1.7999999999999999E-2</x:v>
      </x:c>
      <x:c r="F15" s="20">
        <x:v>0.04</x:v>
      </x:c>
      <x:c r="G15" s="20">
        <x:v>1.2E-2</x:v>
      </x:c>
      <x:c r="H15" s="20">
        <x:v>8.0000000000000002E-3</x:v>
      </x:c>
      <x:c r="I15" s="20">
        <x:v>0.02</x:v>
      </x:c>
      <x:c r="J15" s="20">
        <x:v>1.4999999999999999E-2</x:v>
      </x:c>
      <x:c r="K15" s="20">
        <x:v>2.5000000000000001E-2</x:v>
      </x:c>
      <x:c r="L15" s="20">
        <x:v>0</x:v>
      </x:c>
      <x:c r="M15" s="20">
        <x:v>0</x:v>
      </x:c>
      <x:c r="N15" s="20">
        <x:v>0</x:v>
      </x:c>
      <x:c r="O15" s="20">
        <x:v>0</x:v>
      </x:c>
      <x:c r="P15" s="20">
        <x:v>0</x:v>
      </x:c>
      <x:c r="Q15" s="20">
        <x:v>0</x:v>
      </x:c>
      <x:c r="R15" s="20">
        <x:v>0</x:v>
      </x:c>
      <x:c r="S15" s="20">
        <x:v>0</x:v>
      </x:c>
      <x:c r="T15" s="20">
        <x:v>0.03</x:v>
      </x:c>
      <x:c r="U15" s="20">
        <x:v>0</x:v>
      </x:c>
      <x:c r="V15" s="20">
        <x:v>0</x:v>
      </x:c>
      <x:c r="W15" s="20">
        <x:v>0</x:v>
      </x:c>
      <x:c r="X15" s="20">
        <x:v>0</x:v>
      </x:c>
      <x:c r="Y15" s="20">
        <x:v>0</x:v>
      </x:c>
      <x:c r="Z15" s="20">
        <x:v>0</x:v>
      </x:c>
      <x:c r="AA15" s="20">
        <x:v>0</x:v>
      </x:c>
      <x:c r="AB15" s="20">
        <x:v>0</x:v>
      </x:c>
      <x:c r="AC15" s="20">
        <x:v>0</x:v>
      </x:c>
      <x:c r="AD15" s="20">
        <x:v>0</x:v>
      </x:c>
      <x:c r="AE15" s="20">
        <x:v>0</x:v>
      </x:c>
      <x:c r="AF15" s="20">
        <x:v>0</x:v>
      </x:c>
      <x:c r="AG15" s="20">
        <x:v>0</x:v>
      </x:c>
      <x:c r="AH15" s="20">
        <x:v>0</x:v>
      </x:c>
      <x:c r="AI15" s="20">
        <x:v>0</x:v>
      </x:c>
      <x:c r="AJ15" s="20">
        <x:v>0</x:v>
      </x:c>
      <x:c r="AK15" s="20">
        <x:v>0</x:v>
      </x:c>
      <x:c r="AL15" s="20">
        <x:v>0</x:v>
      </x:c>
      <x:c r="AM15" s="20">
        <x:v>0</x:v>
      </x:c>
      <x:c r="AN15" s="20">
        <x:v>0</x:v>
      </x:c>
      <x:c r="AO15" s="20">
        <x:v>0</x:v>
      </x:c>
      <x:c r="AP15" s="20">
        <x:v>0</x:v>
      </x:c>
      <x:c r="AQ15" s="20">
        <x:v>0</x:v>
      </x:c>
      <x:c r="AR15" s="20">
        <x:f t="shared" si="0"/>
        <x:v>0.23299999999999998</x:v>
      </x:c>
      <x:c r="AS15" s="20">
        <x:f t="shared" si="1"/>
        <x:v>4.2519999999999989</x:v>
      </x:c>
      <x:c r="AT15" s="11" t="s">
        <x:v>237</x:v>
      </x:c>
    </x:row>
    <x:row r="16" ht="15">
      <x:c r="A16" s="21">
        <x:v>14</x:v>
      </x:c>
      <x:c r="B16" s="19" t="s">
        <x:v>244</x:v>
      </x:c>
      <x:c r="C16" s="20">
        <x:v>0.04</x:v>
      </x:c>
      <x:c r="D16" s="20">
        <x:v>2.5000000000000001E-2</x:v>
      </x:c>
      <x:c r="E16" s="20">
        <x:v>1.7999999999999999E-2</x:v>
      </x:c>
      <x:c r="F16" s="20">
        <x:v>0.04</x:v>
      </x:c>
      <x:c r="G16" s="20">
        <x:v>1.2E-2</x:v>
      </x:c>
      <x:c r="H16" s="20">
        <x:v>8.0000000000000002E-3</x:v>
      </x:c>
      <x:c r="I16" s="20">
        <x:v>0.02</x:v>
      </x:c>
      <x:c r="J16" s="20">
        <x:v>1.4999999999999999E-2</x:v>
      </x:c>
      <x:c r="K16" s="20">
        <x:v>2.5000000000000001E-2</x:v>
      </x:c>
      <x:c r="L16" s="20">
        <x:v>0</x:v>
      </x:c>
      <x:c r="M16" s="20">
        <x:v>0</x:v>
      </x:c>
      <x:c r="N16" s="20">
        <x:v>0</x:v>
      </x:c>
      <x:c r="O16" s="20">
        <x:v>0</x:v>
      </x:c>
      <x:c r="P16" s="20">
        <x:v>0</x:v>
      </x:c>
      <x:c r="Q16" s="20">
        <x:v>0</x:v>
      </x:c>
      <x:c r="R16" s="20">
        <x:v>0</x:v>
      </x:c>
      <x:c r="S16" s="20">
        <x:v>0</x:v>
      </x:c>
      <x:c r="T16" s="20">
        <x:v>0.03</x:v>
      </x:c>
      <x:c r="U16" s="20">
        <x:v>0</x:v>
      </x:c>
      <x:c r="V16" s="20">
        <x:v>0</x:v>
      </x:c>
      <x:c r="W16" s="20">
        <x:v>0</x:v>
      </x:c>
      <x:c r="X16" s="20">
        <x:v>0</x:v>
      </x:c>
      <x:c r="Y16" s="20">
        <x:v>0</x:v>
      </x:c>
      <x:c r="Z16" s="20">
        <x:v>0</x:v>
      </x:c>
      <x:c r="AA16" s="20">
        <x:v>0</x:v>
      </x:c>
      <x:c r="AB16" s="20">
        <x:v>0</x:v>
      </x:c>
      <x:c r="AC16" s="20">
        <x:v>0</x:v>
      </x:c>
      <x:c r="AD16" s="20">
        <x:v>0</x:v>
      </x:c>
      <x:c r="AE16" s="20">
        <x:v>0</x:v>
      </x:c>
      <x:c r="AF16" s="20">
        <x:v>0</x:v>
      </x:c>
      <x:c r="AG16" s="20">
        <x:v>0</x:v>
      </x:c>
      <x:c r="AH16" s="20">
        <x:v>0</x:v>
      </x:c>
      <x:c r="AI16" s="20">
        <x:v>0</x:v>
      </x:c>
      <x:c r="AJ16" s="20">
        <x:v>0</x:v>
      </x:c>
      <x:c r="AK16" s="20">
        <x:v>0</x:v>
      </x:c>
      <x:c r="AL16" s="20">
        <x:v>0</x:v>
      </x:c>
      <x:c r="AM16" s="20">
        <x:v>0</x:v>
      </x:c>
      <x:c r="AN16" s="20">
        <x:v>0</x:v>
      </x:c>
      <x:c r="AO16" s="20">
        <x:v>0</x:v>
      </x:c>
      <x:c r="AP16" s="20">
        <x:v>0</x:v>
      </x:c>
      <x:c r="AQ16" s="20">
        <x:v>0</x:v>
      </x:c>
      <x:c r="AR16" s="20">
        <x:f t="shared" si="0"/>
        <x:v>0.23299999999999998</x:v>
      </x:c>
      <x:c r="AS16" s="20">
        <x:f t="shared" si="1"/>
        <x:v>4.4849999999999985</x:v>
      </x:c>
      <x:c r="AT16" s="11" t="s">
        <x:v>237</x:v>
      </x:c>
    </x:row>
    <x:row r="17" ht="15">
      <x:c r="A17" s="21">
        <x:v>15</x:v>
      </x:c>
      <x:c r="B17" s="19" t="s">
        <x:v>245</x:v>
      </x:c>
      <x:c r="C17" s="20">
        <x:v>0.04</x:v>
      </x:c>
      <x:c r="D17" s="20">
        <x:v>2.5000000000000001E-2</x:v>
      </x:c>
      <x:c r="E17" s="20">
        <x:v>1.7999999999999999E-2</x:v>
      </x:c>
      <x:c r="F17" s="20">
        <x:v>0.04</x:v>
      </x:c>
      <x:c r="G17" s="20">
        <x:v>1.2E-2</x:v>
      </x:c>
      <x:c r="H17" s="20">
        <x:v>8.0000000000000002E-3</x:v>
      </x:c>
      <x:c r="I17" s="20">
        <x:v>0.02</x:v>
      </x:c>
      <x:c r="J17" s="20">
        <x:v>1.4999999999999999E-2</x:v>
      </x:c>
      <x:c r="K17" s="20">
        <x:v>2.5000000000000001E-2</x:v>
      </x:c>
      <x:c r="L17" s="20">
        <x:v>0</x:v>
      </x:c>
      <x:c r="M17" s="20">
        <x:v>0</x:v>
      </x:c>
      <x:c r="N17" s="20">
        <x:v>0</x:v>
      </x:c>
      <x:c r="O17" s="20">
        <x:v>0</x:v>
      </x:c>
      <x:c r="P17" s="20">
        <x:v>0</x:v>
      </x:c>
      <x:c r="Q17" s="20">
        <x:v>0</x:v>
      </x:c>
      <x:c r="R17" s="20">
        <x:v>0</x:v>
      </x:c>
      <x:c r="S17" s="20">
        <x:v>0</x:v>
      </x:c>
      <x:c r="T17" s="20">
        <x:v>0.03</x:v>
      </x:c>
      <x:c r="U17" s="20">
        <x:v>0</x:v>
      </x:c>
      <x:c r="V17" s="20">
        <x:v>0</x:v>
      </x:c>
      <x:c r="W17" s="20">
        <x:v>0</x:v>
      </x:c>
      <x:c r="X17" s="20">
        <x:v>0</x:v>
      </x:c>
      <x:c r="Y17" s="20">
        <x:v>0</x:v>
      </x:c>
      <x:c r="Z17" s="20">
        <x:v>0</x:v>
      </x:c>
      <x:c r="AA17" s="20">
        <x:v>0</x:v>
      </x:c>
      <x:c r="AB17" s="20">
        <x:v>0</x:v>
      </x:c>
      <x:c r="AC17" s="20">
        <x:v>0</x:v>
      </x:c>
      <x:c r="AD17" s="20">
        <x:v>0</x:v>
      </x:c>
      <x:c r="AE17" s="20">
        <x:v>0</x:v>
      </x:c>
      <x:c r="AF17" s="20">
        <x:v>0</x:v>
      </x:c>
      <x:c r="AG17" s="20">
        <x:v>0</x:v>
      </x:c>
      <x:c r="AH17" s="20">
        <x:v>0</x:v>
      </x:c>
      <x:c r="AI17" s="20">
        <x:v>0</x:v>
      </x:c>
      <x:c r="AJ17" s="20">
        <x:v>0</x:v>
      </x:c>
      <x:c r="AK17" s="20">
        <x:v>0</x:v>
      </x:c>
      <x:c r="AL17" s="20">
        <x:v>0</x:v>
      </x:c>
      <x:c r="AM17" s="20">
        <x:v>0</x:v>
      </x:c>
      <x:c r="AN17" s="20">
        <x:v>0</x:v>
      </x:c>
      <x:c r="AO17" s="20">
        <x:v>0</x:v>
      </x:c>
      <x:c r="AP17" s="20">
        <x:v>0</x:v>
      </x:c>
      <x:c r="AQ17" s="20">
        <x:v>0</x:v>
      </x:c>
      <x:c r="AR17" s="20">
        <x:f t="shared" si="0"/>
        <x:v>0.23299999999999998</x:v>
      </x:c>
      <x:c r="AS17" s="20">
        <x:f t="shared" si="1"/>
        <x:v>4.7179999999999982</x:v>
      </x:c>
      <x:c r="AT17" s="11" t="s">
        <x:v>237</x:v>
      </x:c>
    </x:row>
    <x:row r="18" ht="15">
      <x:c r="A18" s="18">
        <x:v>16</x:v>
      </x:c>
      <x:c r="B18" s="19" t="s">
        <x:v>246</x:v>
      </x:c>
      <x:c r="C18" s="20">
        <x:v>0.04</x:v>
      </x:c>
      <x:c r="D18" s="20">
        <x:v>2.5000000000000001E-2</x:v>
      </x:c>
      <x:c r="E18" s="20">
        <x:v>1.7999999999999999E-2</x:v>
      </x:c>
      <x:c r="F18" s="20">
        <x:v>0.04</x:v>
      </x:c>
      <x:c r="G18" s="20">
        <x:v>1.2E-2</x:v>
      </x:c>
      <x:c r="H18" s="20">
        <x:v>8.0000000000000002E-3</x:v>
      </x:c>
      <x:c r="I18" s="20">
        <x:v>0.02</x:v>
      </x:c>
      <x:c r="J18" s="20">
        <x:v>1.4999999999999999E-2</x:v>
      </x:c>
      <x:c r="K18" s="20">
        <x:v>2.5000000000000001E-2</x:v>
      </x:c>
      <x:c r="L18" s="20">
        <x:v>0</x:v>
      </x:c>
      <x:c r="M18" s="20">
        <x:v>0</x:v>
      </x:c>
      <x:c r="N18" s="20">
        <x:v>0.05</x:v>
      </x:c>
      <x:c r="O18" s="20">
        <x:v>0</x:v>
      </x:c>
      <x:c r="P18" s="20">
        <x:v>0.08</x:v>
      </x:c>
      <x:c r="Q18" s="20" t="n">
        <x:v>0.06</x:v>
      </x:c>
      <x:c r="R18" s="20">
        <x:v>0</x:v>
      </x:c>
      <x:c r="S18" s="20">
        <x:v>0</x:v>
      </x:c>
      <x:c r="T18" s="20">
        <x:v>0.03</x:v>
      </x:c>
      <x:c r="U18" s="20">
        <x:v>0</x:v>
      </x:c>
      <x:c r="V18" s="20">
        <x:v>0</x:v>
      </x:c>
      <x:c r="W18" s="20">
        <x:v>0</x:v>
      </x:c>
      <x:c r="X18" s="20">
        <x:v>0</x:v>
      </x:c>
      <x:c r="Y18" s="20">
        <x:v>0</x:v>
      </x:c>
      <x:c r="Z18" s="20">
        <x:v>0</x:v>
      </x:c>
      <x:c r="AA18" s="20">
        <x:v>0</x:v>
      </x:c>
      <x:c r="AB18" s="20">
        <x:v>0</x:v>
      </x:c>
      <x:c r="AC18" s="20">
        <x:v>0</x:v>
      </x:c>
      <x:c r="AD18" s="20">
        <x:v>0</x:v>
      </x:c>
      <x:c r="AE18" s="20">
        <x:v>0</x:v>
      </x:c>
      <x:c r="AF18" s="20">
        <x:v>0</x:v>
      </x:c>
      <x:c r="AG18" s="20">
        <x:v>0</x:v>
      </x:c>
      <x:c r="AH18" s="20">
        <x:v>0</x:v>
      </x:c>
      <x:c r="AI18" s="20">
        <x:v>0</x:v>
      </x:c>
      <x:c r="AJ18" s="20">
        <x:v>0</x:v>
      </x:c>
      <x:c r="AK18" s="20">
        <x:v>0</x:v>
      </x:c>
      <x:c r="AL18" s="20">
        <x:v>0</x:v>
      </x:c>
      <x:c r="AM18" s="20">
        <x:v>0</x:v>
      </x:c>
      <x:c r="AN18" s="20">
        <x:v>0</x:v>
      </x:c>
      <x:c r="AO18" s="20">
        <x:v>0</x:v>
      </x:c>
      <x:c r="AP18" s="20">
        <x:v>0</x:v>
      </x:c>
      <x:c r="AQ18" s="20">
        <x:v>0</x:v>
      </x:c>
      <x:c r="AR18" s="20" t="n">
        <x:f t="shared" si="0">SUM(C18:AQ18)</x:f>
        <x:v>0.42300000000000004</x:v>
      </x:c>
      <x:c r="AS18" s="20" t="n">
        <x:f t="shared" si="1">AS17+AR18</x:f>
        <x:v>5.140999999999998</x:v>
      </x:c>
      <x:c r="AT18" s="11" t="s">
        <x:v>247</x:v>
      </x:c>
    </x:row>
    <x:row r="19" ht="15">
      <x:c r="A19" s="18">
        <x:v>17</x:v>
      </x:c>
      <x:c r="B19" s="19" t="s">
        <x:v>248</x:v>
      </x:c>
      <x:c r="C19" s="20">
        <x:v>0.04</x:v>
      </x:c>
      <x:c r="D19" s="20">
        <x:v>2.5000000000000001E-2</x:v>
      </x:c>
      <x:c r="E19" s="20">
        <x:v>1.7999999999999999E-2</x:v>
      </x:c>
      <x:c r="F19" s="20">
        <x:v>0.04</x:v>
      </x:c>
      <x:c r="G19" s="20">
        <x:v>1.2E-2</x:v>
      </x:c>
      <x:c r="H19" s="20">
        <x:v>8.0000000000000002E-3</x:v>
      </x:c>
      <x:c r="I19" s="20">
        <x:v>0.02</x:v>
      </x:c>
      <x:c r="J19" s="20">
        <x:v>1.4999999999999999E-2</x:v>
      </x:c>
      <x:c r="K19" s="20">
        <x:v>2.5000000000000001E-2</x:v>
      </x:c>
      <x:c r="L19" s="20">
        <x:v>0</x:v>
      </x:c>
      <x:c r="M19" s="20">
        <x:v>0</x:v>
      </x:c>
      <x:c r="N19" s="20">
        <x:v>0.04</x:v>
      </x:c>
      <x:c r="O19" s="20">
        <x:v>0</x:v>
      </x:c>
      <x:c r="P19" s="20">
        <x:v>0.15</x:v>
      </x:c>
      <x:c r="Q19" s="20" t="n">
        <x:v>0.06</x:v>
      </x:c>
      <x:c r="R19" s="20">
        <x:v>0</x:v>
      </x:c>
      <x:c r="S19" s="20">
        <x:v>0</x:v>
      </x:c>
      <x:c r="T19" s="20">
        <x:v>0.03</x:v>
      </x:c>
      <x:c r="U19" s="20">
        <x:v>0</x:v>
      </x:c>
      <x:c r="V19" s="20">
        <x:v>0</x:v>
      </x:c>
      <x:c r="W19" s="20">
        <x:v>0</x:v>
      </x:c>
      <x:c r="X19" s="20">
        <x:v>0</x:v>
      </x:c>
      <x:c r="Y19" s="20">
        <x:v>0</x:v>
      </x:c>
      <x:c r="Z19" s="20">
        <x:v>0</x:v>
      </x:c>
      <x:c r="AA19" s="20">
        <x:v>0</x:v>
      </x:c>
      <x:c r="AB19" s="20">
        <x:v>0</x:v>
      </x:c>
      <x:c r="AC19" s="20">
        <x:v>0</x:v>
      </x:c>
      <x:c r="AD19" s="20">
        <x:v>0</x:v>
      </x:c>
      <x:c r="AE19" s="20">
        <x:v>0</x:v>
      </x:c>
      <x:c r="AF19" s="20">
        <x:v>0</x:v>
      </x:c>
      <x:c r="AG19" s="20">
        <x:v>0</x:v>
      </x:c>
      <x:c r="AH19" s="20">
        <x:v>0</x:v>
      </x:c>
      <x:c r="AI19" s="20">
        <x:v>0</x:v>
      </x:c>
      <x:c r="AJ19" s="20">
        <x:v>0</x:v>
      </x:c>
      <x:c r="AK19" s="20">
        <x:v>0</x:v>
      </x:c>
      <x:c r="AL19" s="20">
        <x:v>0</x:v>
      </x:c>
      <x:c r="AM19" s="20">
        <x:v>0</x:v>
      </x:c>
      <x:c r="AN19" s="20">
        <x:v>0</x:v>
      </x:c>
      <x:c r="AO19" s="20">
        <x:v>0</x:v>
      </x:c>
      <x:c r="AP19" s="20">
        <x:v>0</x:v>
      </x:c>
      <x:c r="AQ19" s="20">
        <x:v>0</x:v>
      </x:c>
      <x:c r="AR19" s="20" t="n">
        <x:f t="shared" si="0">SUM(C19:AQ19)</x:f>
        <x:v>0.483</x:v>
      </x:c>
      <x:c r="AS19" s="20" t="n">
        <x:f t="shared" si="1">AS18+AR19</x:f>
        <x:v>5.623999999999998</x:v>
      </x:c>
      <x:c r="AT19" s="11" t="s">
        <x:v>249</x:v>
      </x:c>
    </x:row>
    <x:row r="20" ht="15">
      <x:c r="A20" s="18">
        <x:v>18</x:v>
      </x:c>
      <x:c r="B20" s="19" t="s">
        <x:v>250</x:v>
      </x:c>
      <x:c r="C20" s="20">
        <x:v>0.04</x:v>
      </x:c>
      <x:c r="D20" s="20">
        <x:v>2.5000000000000001E-2</x:v>
      </x:c>
      <x:c r="E20" s="20">
        <x:v>1.7999999999999999E-2</x:v>
      </x:c>
      <x:c r="F20" s="20">
        <x:v>0.04</x:v>
      </x:c>
      <x:c r="G20" s="20">
        <x:v>1.2E-2</x:v>
      </x:c>
      <x:c r="H20" s="20">
        <x:v>8.0000000000000002E-3</x:v>
      </x:c>
      <x:c r="I20" s="20">
        <x:v>0.02</x:v>
      </x:c>
      <x:c r="J20" s="20">
        <x:v>1.4999999999999999E-2</x:v>
      </x:c>
      <x:c r="K20" s="20">
        <x:v>2.5000000000000001E-2</x:v>
      </x:c>
      <x:c r="L20" s="20">
        <x:v>0.04</x:v>
      </x:c>
      <x:c r="M20" s="20">
        <x:v>0.12</x:v>
      </x:c>
      <x:c r="N20" s="20">
        <x:v>0.06</x:v>
      </x:c>
      <x:c r="O20" s="20">
        <x:v>0</x:v>
      </x:c>
      <x:c r="P20" s="20">
        <x:v>0.15</x:v>
      </x:c>
      <x:c r="Q20" s="20" t="n">
        <x:v>0.08</x:v>
      </x:c>
      <x:c r="R20" s="20">
        <x:v>0</x:v>
      </x:c>
      <x:c r="S20" s="20">
        <x:v>0.35</x:v>
      </x:c>
      <x:c r="T20" s="20">
        <x:v>0.03</x:v>
      </x:c>
      <x:c r="U20" s="20">
        <x:v>0.8</x:v>
      </x:c>
      <x:c r="V20" s="20">
        <x:v>0.08</x:v>
      </x:c>
      <x:c r="W20" s="20">
        <x:v>0</x:v>
      </x:c>
      <x:c r="X20" s="20">
        <x:v>0.03</x:v>
      </x:c>
      <x:c r="Y20" s="20">
        <x:v>0</x:v>
      </x:c>
      <x:c r="Z20" s="20">
        <x:v>0</x:v>
      </x:c>
      <x:c r="AA20" s="20">
        <x:v>0</x:v>
      </x:c>
      <x:c r="AB20" s="20">
        <x:v>0</x:v>
      </x:c>
      <x:c r="AC20" s="20">
        <x:v>0</x:v>
      </x:c>
      <x:c r="AD20" s="20">
        <x:v>0</x:v>
      </x:c>
      <x:c r="AE20" s="20">
        <x:v>0</x:v>
      </x:c>
      <x:c r="AF20" s="20">
        <x:v>0</x:v>
      </x:c>
      <x:c r="AG20" s="20">
        <x:v>0</x:v>
      </x:c>
      <x:c r="AH20" s="20">
        <x:v>0</x:v>
      </x:c>
      <x:c r="AI20" s="20">
        <x:v>0</x:v>
      </x:c>
      <x:c r="AJ20" s="20">
        <x:v>0</x:v>
      </x:c>
      <x:c r="AK20" s="20">
        <x:v>0</x:v>
      </x:c>
      <x:c r="AL20" s="20">
        <x:v>0</x:v>
      </x:c>
      <x:c r="AM20" s="20">
        <x:v>0</x:v>
      </x:c>
      <x:c r="AN20" s="20">
        <x:v>0</x:v>
      </x:c>
      <x:c r="AO20" s="20">
        <x:v>0</x:v>
      </x:c>
      <x:c r="AP20" s="20">
        <x:v>0</x:v>
      </x:c>
      <x:c r="AQ20" s="20">
        <x:v>0</x:v>
      </x:c>
      <x:c r="AR20" s="20" t="n">
        <x:f t="shared" si="0">SUM(C20:AQ20)</x:f>
        <x:v>1.943</x:v>
      </x:c>
      <x:c r="AS20" s="20" t="n">
        <x:f t="shared" si="1">AS19+AR20</x:f>
        <x:v>7.566999999999998</x:v>
      </x:c>
      <x:c r="AT20" s="11" t="s">
        <x:v>251</x:v>
      </x:c>
    </x:row>
    <x:row r="21" ht="15">
      <x:c r="A21" s="18">
        <x:v>19</x:v>
      </x:c>
      <x:c r="B21" s="19" t="s">
        <x:v>252</x:v>
      </x:c>
      <x:c r="C21" s="20">
        <x:v>0.04</x:v>
      </x:c>
      <x:c r="D21" s="20">
        <x:v>2.5000000000000001E-2</x:v>
      </x:c>
      <x:c r="E21" s="20">
        <x:v>1.7999999999999999E-2</x:v>
      </x:c>
      <x:c r="F21" s="20">
        <x:v>0.04</x:v>
      </x:c>
      <x:c r="G21" s="20">
        <x:v>1.2E-2</x:v>
      </x:c>
      <x:c r="H21" s="20">
        <x:v>8.0000000000000002E-3</x:v>
      </x:c>
      <x:c r="I21" s="20">
        <x:v>0.02</x:v>
      </x:c>
      <x:c r="J21" s="20">
        <x:v>1.4999999999999999E-2</x:v>
      </x:c>
      <x:c r="K21" s="20">
        <x:v>2.5000000000000001E-2</x:v>
      </x:c>
      <x:c r="L21" s="20">
        <x:v>0.04</x:v>
      </x:c>
      <x:c r="M21" s="20">
        <x:v>0.18</x:v>
      </x:c>
      <x:c r="N21" s="20">
        <x:v>0.08</x:v>
      </x:c>
      <x:c r="O21" s="20">
        <x:v>0.05</x:v>
      </x:c>
      <x:c r="P21" s="20">
        <x:v>0.18</x:v>
      </x:c>
      <x:c r="Q21" s="20" t="n">
        <x:v>0.08</x:v>
      </x:c>
      <x:c r="R21" s="20">
        <x:v>0</x:v>
      </x:c>
      <x:c r="S21" s="20">
        <x:v>0</x:v>
      </x:c>
      <x:c r="T21" s="20">
        <x:v>0.03</x:v>
      </x:c>
      <x:c r="U21" s="20">
        <x:v>0.7</x:v>
      </x:c>
      <x:c r="V21" s="20">
        <x:v>0.05</x:v>
      </x:c>
      <x:c r="W21" s="20">
        <x:v>0.25</x:v>
      </x:c>
      <x:c r="X21" s="20">
        <x:v>0</x:v>
      </x:c>
      <x:c r="Y21" s="20">
        <x:v>0</x:v>
      </x:c>
      <x:c r="Z21" s="20">
        <x:v>0</x:v>
      </x:c>
      <x:c r="AA21" s="20">
        <x:v>0</x:v>
      </x:c>
      <x:c r="AB21" s="20">
        <x:v>0</x:v>
      </x:c>
      <x:c r="AC21" s="20">
        <x:v>0</x:v>
      </x:c>
      <x:c r="AD21" s="20">
        <x:v>0</x:v>
      </x:c>
      <x:c r="AE21" s="20">
        <x:v>0</x:v>
      </x:c>
      <x:c r="AF21" s="20">
        <x:v>0</x:v>
      </x:c>
      <x:c r="AG21" s="20">
        <x:v>0</x:v>
      </x:c>
      <x:c r="AH21" s="20">
        <x:v>0</x:v>
      </x:c>
      <x:c r="AI21" s="20">
        <x:v>0</x:v>
      </x:c>
      <x:c r="AJ21" s="20">
        <x:v>0</x:v>
      </x:c>
      <x:c r="AK21" s="20">
        <x:v>0</x:v>
      </x:c>
      <x:c r="AL21" s="20">
        <x:v>0</x:v>
      </x:c>
      <x:c r="AM21" s="20">
        <x:v>0</x:v>
      </x:c>
      <x:c r="AN21" s="20">
        <x:v>0</x:v>
      </x:c>
      <x:c r="AO21" s="20">
        <x:v>0</x:v>
      </x:c>
      <x:c r="AP21" s="20">
        <x:v>0</x:v>
      </x:c>
      <x:c r="AQ21" s="20">
        <x:v>0</x:v>
      </x:c>
      <x:c r="AR21" s="20" t="n">
        <x:f t="shared" si="0">SUM(C21:AQ21)</x:f>
        <x:v>1.8430000000000002</x:v>
      </x:c>
      <x:c r="AS21" s="20" t="n">
        <x:f t="shared" si="1">AS20+AR21</x:f>
        <x:v>9.409999999999998</x:v>
      </x:c>
      <x:c r="AT21" s="11" t="s">
        <x:v>253</x:v>
      </x:c>
    </x:row>
    <x:row r="22" ht="15">
      <x:c r="A22" s="18">
        <x:v>20</x:v>
      </x:c>
      <x:c r="B22" s="19" t="s">
        <x:v>254</x:v>
      </x:c>
      <x:c r="C22" s="20">
        <x:v>0.04</x:v>
      </x:c>
      <x:c r="D22" s="20">
        <x:v>2.5000000000000001E-2</x:v>
      </x:c>
      <x:c r="E22" s="20">
        <x:v>1.7999999999999999E-2</x:v>
      </x:c>
      <x:c r="F22" s="20">
        <x:v>0.04</x:v>
      </x:c>
      <x:c r="G22" s="20">
        <x:v>1.2E-2</x:v>
      </x:c>
      <x:c r="H22" s="20">
        <x:v>8.0000000000000002E-3</x:v>
      </x:c>
      <x:c r="I22" s="20">
        <x:v>0.02</x:v>
      </x:c>
      <x:c r="J22" s="20">
        <x:v>1.4999999999999999E-2</x:v>
      </x:c>
      <x:c r="K22" s="20">
        <x:v>2.5000000000000001E-2</x:v>
      </x:c>
      <x:c r="L22" s="20">
        <x:v>0</x:v>
      </x:c>
      <x:c r="M22" s="20">
        <x:v>0.18</x:v>
      </x:c>
      <x:c r="N22" s="20">
        <x:v>0.08</x:v>
      </x:c>
      <x:c r="O22" s="20">
        <x:v>0.05</x:v>
      </x:c>
      <x:c r="P22" s="20">
        <x:v>0.18</x:v>
      </x:c>
      <x:c r="Q22" s="20" t="n">
        <x:v>0.08</x:v>
      </x:c>
      <x:c r="R22" s="20">
        <x:v>0.06</x:v>
      </x:c>
      <x:c r="S22" s="20">
        <x:v>0</x:v>
      </x:c>
      <x:c r="T22" s="20">
        <x:v>0.03</x:v>
      </x:c>
      <x:c r="U22" s="20">
        <x:v>0</x:v>
      </x:c>
      <x:c r="V22" s="20">
        <x:v>0</x:v>
      </x:c>
      <x:c r="W22" s="20">
        <x:v>0</x:v>
      </x:c>
      <x:c r="X22" s="20">
        <x:v>0.05</x:v>
      </x:c>
      <x:c r="Y22" s="20">
        <x:v>0</x:v>
      </x:c>
      <x:c r="Z22" s="20">
        <x:v>0.02</x:v>
      </x:c>
      <x:c r="AA22" s="20">
        <x:v>0</x:v>
      </x:c>
      <x:c r="AB22" s="20">
        <x:v>0</x:v>
      </x:c>
      <x:c r="AC22" s="20">
        <x:v>0.15</x:v>
      </x:c>
      <x:c r="AD22" s="20">
        <x:v>0</x:v>
      </x:c>
      <x:c r="AE22" s="20">
        <x:v>0</x:v>
      </x:c>
      <x:c r="AF22" s="20">
        <x:v>0</x:v>
      </x:c>
      <x:c r="AG22" s="20">
        <x:v>0</x:v>
      </x:c>
      <x:c r="AH22" s="20">
        <x:v>0</x:v>
      </x:c>
      <x:c r="AI22" s="20">
        <x:v>0</x:v>
      </x:c>
      <x:c r="AJ22" s="20">
        <x:v>0</x:v>
      </x:c>
      <x:c r="AK22" s="20">
        <x:v>0</x:v>
      </x:c>
      <x:c r="AL22" s="20">
        <x:v>0</x:v>
      </x:c>
      <x:c r="AM22" s="20">
        <x:v>0</x:v>
      </x:c>
      <x:c r="AN22" s="20">
        <x:v>0</x:v>
      </x:c>
      <x:c r="AO22" s="20">
        <x:v>0</x:v>
      </x:c>
      <x:c r="AP22" s="20">
        <x:v>0</x:v>
      </x:c>
      <x:c r="AQ22" s="20">
        <x:v>0</x:v>
      </x:c>
      <x:c r="AR22" s="20" t="n">
        <x:f t="shared" si="0">SUM(C22:AQ22)</x:f>
        <x:v>1.083</x:v>
      </x:c>
      <x:c r="AS22" s="20" t="n">
        <x:f t="shared" si="1">AS21+AR22</x:f>
        <x:v>10.492999999999999</x:v>
      </x:c>
      <x:c r="AT22" s="11" t="s">
        <x:v>255</x:v>
      </x:c>
    </x:row>
    <x:row r="23" ht="15">
      <x:c r="A23" s="18">
        <x:v>21</x:v>
      </x:c>
      <x:c r="B23" s="19" t="s">
        <x:v>256</x:v>
      </x:c>
      <x:c r="C23" s="20">
        <x:v>0.04</x:v>
      </x:c>
      <x:c r="D23" s="20">
        <x:v>2.5000000000000001E-2</x:v>
      </x:c>
      <x:c r="E23" s="20">
        <x:v>1.7999999999999999E-2</x:v>
      </x:c>
      <x:c r="F23" s="20">
        <x:v>0.04</x:v>
      </x:c>
      <x:c r="G23" s="20">
        <x:v>1.2E-2</x:v>
      </x:c>
      <x:c r="H23" s="20">
        <x:v>8.0000000000000002E-3</x:v>
      </x:c>
      <x:c r="I23" s="20">
        <x:v>0.02</x:v>
      </x:c>
      <x:c r="J23" s="20">
        <x:v>1.4999999999999999E-2</x:v>
      </x:c>
      <x:c r="K23" s="20">
        <x:v>2.5000000000000001E-2</x:v>
      </x:c>
      <x:c r="L23" s="20">
        <x:v>0</x:v>
      </x:c>
      <x:c r="M23" s="20">
        <x:v>0.18</x:v>
      </x:c>
      <x:c r="N23" s="20">
        <x:v>0.08</x:v>
      </x:c>
      <x:c r="O23" s="20">
        <x:v>0.05</x:v>
      </x:c>
      <x:c r="P23" s="20">
        <x:v>0.18</x:v>
      </x:c>
      <x:c r="Q23" s="20" t="n">
        <x:v>0.08</x:v>
      </x:c>
      <x:c r="R23" s="20">
        <x:v>0.06</x:v>
      </x:c>
      <x:c r="S23" s="20">
        <x:v>0</x:v>
      </x:c>
      <x:c r="T23" s="20">
        <x:v>0.03</x:v>
      </x:c>
      <x:c r="U23" s="20">
        <x:v>0</x:v>
      </x:c>
      <x:c r="V23" s="20">
        <x:v>0</x:v>
      </x:c>
      <x:c r="W23" s="20">
        <x:v>0</x:v>
      </x:c>
      <x:c r="X23" s="20">
        <x:v>0</x:v>
      </x:c>
      <x:c r="Y23" s="20">
        <x:v>0.6</x:v>
      </x:c>
      <x:c r="Z23" s="20">
        <x:v>0</x:v>
      </x:c>
      <x:c r="AA23" s="20">
        <x:v>0.12</x:v>
      </x:c>
      <x:c r="AB23" s="20">
        <x:v>0</x:v>
      </x:c>
      <x:c r="AC23" s="20">
        <x:v>0</x:v>
      </x:c>
      <x:c r="AD23" s="20">
        <x:v>0</x:v>
      </x:c>
      <x:c r="AE23" s="20">
        <x:v>0.05</x:v>
      </x:c>
      <x:c r="AF23" s="20">
        <x:v>0</x:v>
      </x:c>
      <x:c r="AG23" s="20">
        <x:v>0</x:v>
      </x:c>
      <x:c r="AH23" s="20">
        <x:v>0</x:v>
      </x:c>
      <x:c r="AI23" s="20">
        <x:v>0</x:v>
      </x:c>
      <x:c r="AJ23" s="20">
        <x:v>0</x:v>
      </x:c>
      <x:c r="AK23" s="20">
        <x:v>0</x:v>
      </x:c>
      <x:c r="AL23" s="20">
        <x:v>0</x:v>
      </x:c>
      <x:c r="AM23" s="20">
        <x:v>0</x:v>
      </x:c>
      <x:c r="AN23" s="20">
        <x:v>0</x:v>
      </x:c>
      <x:c r="AO23" s="20">
        <x:v>0</x:v>
      </x:c>
      <x:c r="AP23" s="20">
        <x:v>0</x:v>
      </x:c>
      <x:c r="AQ23" s="20">
        <x:v>0</x:v>
      </x:c>
      <x:c r="AR23" s="20" t="n">
        <x:f t="shared" si="0">SUM(C23:AQ23)</x:f>
        <x:v>1.6330000000000002</x:v>
      </x:c>
      <x:c r="AS23" s="20" t="n">
        <x:f t="shared" si="1">AS22+AR23</x:f>
        <x:v>12.126</x:v>
      </x:c>
      <x:c r="AT23" s="11" t="s">
        <x:v>257</x:v>
      </x:c>
    </x:row>
    <x:row r="24" ht="15">
      <x:c r="A24" s="18">
        <x:v>22</x:v>
      </x:c>
      <x:c r="B24" s="19" t="s">
        <x:v>258</x:v>
      </x:c>
      <x:c r="C24" s="20">
        <x:v>0.04</x:v>
      </x:c>
      <x:c r="D24" s="20">
        <x:v>2.5000000000000001E-2</x:v>
      </x:c>
      <x:c r="E24" s="20">
        <x:v>1.7999999999999999E-2</x:v>
      </x:c>
      <x:c r="F24" s="20">
        <x:v>0.04</x:v>
      </x:c>
      <x:c r="G24" s="20">
        <x:v>1.2E-2</x:v>
      </x:c>
      <x:c r="H24" s="20">
        <x:v>8.0000000000000002E-3</x:v>
      </x:c>
      <x:c r="I24" s="20">
        <x:v>0.02</x:v>
      </x:c>
      <x:c r="J24" s="20">
        <x:v>1.4999999999999999E-2</x:v>
      </x:c>
      <x:c r="K24" s="20">
        <x:v>2.5000000000000001E-2</x:v>
      </x:c>
      <x:c r="L24" s="20">
        <x:v>0.03</x:v>
      </x:c>
      <x:c r="M24" s="20">
        <x:v>0.12</x:v>
      </x:c>
      <x:c r="N24" s="20">
        <x:v>0.06</x:v>
      </x:c>
      <x:c r="O24" s="20">
        <x:v>0.04</x:v>
      </x:c>
      <x:c r="P24" s="20">
        <x:v>0.12</x:v>
      </x:c>
      <x:c r="Q24" s="20" t="n">
        <x:v>0.08</x:v>
      </x:c>
      <x:c r="R24" s="20">
        <x:v>0</x:v>
      </x:c>
      <x:c r="S24" s="20">
        <x:v>0</x:v>
      </x:c>
      <x:c r="T24" s="20">
        <x:v>0.03</x:v>
      </x:c>
      <x:c r="U24" s="20">
        <x:v>0</x:v>
      </x:c>
      <x:c r="V24" s="20">
        <x:v>0</x:v>
      </x:c>
      <x:c r="W24" s="20">
        <x:v>0</x:v>
      </x:c>
      <x:c r="X24" s="20">
        <x:v>0</x:v>
      </x:c>
      <x:c r="Y24" s="20">
        <x:v>0.3</x:v>
      </x:c>
      <x:c r="Z24" s="20">
        <x:v>0</x:v>
      </x:c>
      <x:c r="AA24" s="20">
        <x:v>0</x:v>
      </x:c>
      <x:c r="AB24" s="20">
        <x:v>0.25</x:v>
      </x:c>
      <x:c r="AC24" s="20">
        <x:v>0</x:v>
      </x:c>
      <x:c r="AD24" s="20">
        <x:v>0</x:v>
      </x:c>
      <x:c r="AE24" s="20">
        <x:v>0</x:v>
      </x:c>
      <x:c r="AF24" s="20">
        <x:v>0</x:v>
      </x:c>
      <x:c r="AG24" s="20">
        <x:v>0.06</x:v>
      </x:c>
      <x:c r="AH24" s="20">
        <x:v>0</x:v>
      </x:c>
      <x:c r="AI24" s="20">
        <x:v>0</x:v>
      </x:c>
      <x:c r="AJ24" s="20">
        <x:v>0</x:v>
      </x:c>
      <x:c r="AK24" s="20">
        <x:v>0</x:v>
      </x:c>
      <x:c r="AL24" s="20">
        <x:v>0</x:v>
      </x:c>
      <x:c r="AM24" s="20">
        <x:v>0</x:v>
      </x:c>
      <x:c r="AN24" s="20">
        <x:v>0</x:v>
      </x:c>
      <x:c r="AO24" s="20">
        <x:v>0</x:v>
      </x:c>
      <x:c r="AP24" s="20">
        <x:v>0</x:v>
      </x:c>
      <x:c r="AQ24" s="20">
        <x:v>0</x:v>
      </x:c>
      <x:c r="AR24" s="20" t="n">
        <x:f t="shared" si="0">SUM(C24:AQ24)</x:f>
        <x:v>1.293</x:v>
      </x:c>
      <x:c r="AS24" s="20" t="n">
        <x:f t="shared" si="1">AS23+AR24</x:f>
        <x:v>13.418999999999999</x:v>
      </x:c>
      <x:c r="AT24" s="11" t="s">
        <x:v>259</x:v>
      </x:c>
    </x:row>
    <x:row r="25" ht="15">
      <x:c r="A25" s="18">
        <x:v>23</x:v>
      </x:c>
      <x:c r="B25" s="19" t="s">
        <x:v>260</x:v>
      </x:c>
      <x:c r="C25" s="20">
        <x:v>0.04</x:v>
      </x:c>
      <x:c r="D25" s="20">
        <x:v>2.5000000000000001E-2</x:v>
      </x:c>
      <x:c r="E25" s="20">
        <x:v>1.7999999999999999E-2</x:v>
      </x:c>
      <x:c r="F25" s="20">
        <x:v>0.04</x:v>
      </x:c>
      <x:c r="G25" s="20">
        <x:v>1.2E-2</x:v>
      </x:c>
      <x:c r="H25" s="20">
        <x:v>8.0000000000000002E-3</x:v>
      </x:c>
      <x:c r="I25" s="20">
        <x:v>0.02</x:v>
      </x:c>
      <x:c r="J25" s="20">
        <x:v>1.4999999999999999E-2</x:v>
      </x:c>
      <x:c r="K25" s="20">
        <x:v>2.5000000000000001E-2</x:v>
      </x:c>
      <x:c r="L25" s="20">
        <x:v>0</x:v>
      </x:c>
      <x:c r="M25" s="20">
        <x:v>0.05</x:v>
      </x:c>
      <x:c r="N25" s="20">
        <x:v>0</x:v>
      </x:c>
      <x:c r="O25" s="20">
        <x:v>0</x:v>
      </x:c>
      <x:c r="P25" s="20">
        <x:v>0</x:v>
      </x:c>
      <x:c r="Q25" s="20" t="n">
        <x:v>0.06</x:v>
      </x:c>
      <x:c r="R25" s="20">
        <x:v>0</x:v>
      </x:c>
      <x:c r="S25" s="20">
        <x:v>0</x:v>
      </x:c>
      <x:c r="T25" s="20">
        <x:v>0</x:v>
      </x:c>
      <x:c r="U25" s="20">
        <x:v>0</x:v>
      </x:c>
      <x:c r="V25" s="20">
        <x:v>0</x:v>
      </x:c>
      <x:c r="W25" s="20">
        <x:v>0</x:v>
      </x:c>
      <x:c r="X25" s="20">
        <x:v>0</x:v>
      </x:c>
      <x:c r="Y25" s="20">
        <x:v>0</x:v>
      </x:c>
      <x:c r="Z25" s="20">
        <x:v>0</x:v>
      </x:c>
      <x:c r="AA25" s="20">
        <x:v>0</x:v>
      </x:c>
      <x:c r="AB25" s="20">
        <x:v>0.2</x:v>
      </x:c>
      <x:c r="AC25" s="20">
        <x:v>0</x:v>
      </x:c>
      <x:c r="AD25" s="20">
        <x:v>0</x:v>
      </x:c>
      <x:c r="AE25" s="20">
        <x:v>0</x:v>
      </x:c>
      <x:c r="AF25" s="20">
        <x:v>0</x:v>
      </x:c>
      <x:c r="AG25" s="20">
        <x:v>0</x:v>
      </x:c>
      <x:c r="AH25" s="20">
        <x:v>0</x:v>
      </x:c>
      <x:c r="AI25" s="20">
        <x:v>0</x:v>
      </x:c>
      <x:c r="AJ25" s="20">
        <x:v>0</x:v>
      </x:c>
      <x:c r="AK25" s="20">
        <x:v>0</x:v>
      </x:c>
      <x:c r="AL25" s="20">
        <x:v>0</x:v>
      </x:c>
      <x:c r="AM25" s="20">
        <x:v>0</x:v>
      </x:c>
      <x:c r="AN25" s="20">
        <x:v>0</x:v>
      </x:c>
      <x:c r="AO25" s="20">
        <x:v>0</x:v>
      </x:c>
      <x:c r="AP25" s="20">
        <x:v>0</x:v>
      </x:c>
      <x:c r="AQ25" s="20">
        <x:v>0</x:v>
      </x:c>
      <x:c r="AR25" s="20" t="n">
        <x:f t="shared" si="0">SUM(C25:AQ25)</x:f>
        <x:v>0.513</x:v>
      </x:c>
      <x:c r="AS25" s="20" t="n">
        <x:f t="shared" si="1">AS24+AR25</x:f>
        <x:v>13.931999999999999</x:v>
      </x:c>
      <x:c r="AT25" s="11" t="s">
        <x:v>261</x:v>
      </x:c>
    </x:row>
    <x:row r="26" ht="15">
      <x:c r="A26" s="24" t="s">
        <x:v>262</x:v>
      </x:c>
      <x:c r="B26" s="25"/>
      <x:c r="C26" s="22" t="n">
        <x:f>SUM(C2:C25)</x:f>
        <x:v>0.9600000000000003</x:v>
      </x:c>
      <x:c r="D26" s="22" t="n">
        <x:f t="shared" ref="D26:AR26" si="2">SUM(D2:D25)</x:f>
        <x:v>0.6000000000000002</x:v>
      </x:c>
      <x:c r="E26" s="22">
        <x:f t="shared" si="2"/>
        <x:v>0.43200000000000011</x:v>
      </x:c>
      <x:c r="F26" s="22">
        <x:f t="shared" si="2"/>
        <x:v>0.84000000000000019</x:v>
      </x:c>
      <x:c r="G26" s="22">
        <x:f t="shared" si="2"/>
        <x:v>0.28800000000000009</x:v>
      </x:c>
      <x:c r="H26" s="22">
        <x:f t="shared" si="2"/>
        <x:v>0.19200000000000012</x:v>
      </x:c>
      <x:c r="I26" s="22">
        <x:f t="shared" si="2"/>
        <x:v>0.48000000000000015</x:v>
      </x:c>
      <x:c r="J26" s="22">
        <x:f t="shared" si="2"/>
        <x:v>0.36000000000000021</x:v>
      </x:c>
      <x:c r="K26" s="22">
        <x:f t="shared" si="2"/>
        <x:v>0.45000000000000012</x:v>
      </x:c>
      <x:c r="L26" s="22">
        <x:f t="shared" si="2"/>
        <x:v>0.17</x:v>
      </x:c>
      <x:c r="M26" s="22">
        <x:f t="shared" si="2"/>
        <x:v>0.9900000000000001</x:v>
      </x:c>
      <x:c r="N26" s="22">
        <x:f t="shared" si="2"/>
        <x:v>0.49000000000000005</x:v>
      </x:c>
      <x:c r="O26" s="22">
        <x:f t="shared" si="2"/>
        <x:v>0.19000000000000003</x:v>
      </x:c>
      <x:c r="P26" s="22">
        <x:f t="shared" si="2"/>
        <x:v>1.04</x:v>
      </x:c>
      <x:c r="Q26" s="22" t="n">
        <x:f t="shared" si="2">SUM(Q2:Q25)</x:f>
        <x:v>0.5800000000000001</x:v>
      </x:c>
      <x:c r="R26" s="22">
        <x:f t="shared" si="2"/>
        <x:v>0.12</x:v>
      </x:c>
      <x:c r="S26" s="22">
        <x:f t="shared" si="2"/>
        <x:v>0.6</x:v>
      </x:c>
      <x:c r="T26" s="22">
        <x:f t="shared" si="2"/>
        <x:v>0.4800000000000002</x:v>
      </x:c>
      <x:c r="U26" s="22">
        <x:f t="shared" si="2"/>
        <x:v>2.0499999999999998</x:v>
      </x:c>
      <x:c r="V26" s="22">
        <x:f t="shared" si="2"/>
        <x:v>0.16999999999999998</x:v>
      </x:c>
      <x:c r="W26" s="22">
        <x:f t="shared" si="2"/>
        <x:v>0.25</x:v>
      </x:c>
      <x:c r="X26" s="22">
        <x:f t="shared" si="2"/>
        <x:v>0.25</x:v>
      </x:c>
      <x:c r="Y26" s="22">
        <x:f t="shared" si="2"/>
        <x:v>0.89999999999999991</x:v>
      </x:c>
      <x:c r="Z26" s="22">
        <x:f t="shared" si="2"/>
        <x:v>0.02</x:v>
      </x:c>
      <x:c r="AA26" s="22">
        <x:f t="shared" si="2"/>
        <x:v>0.12</x:v>
      </x:c>
      <x:c r="AB26" s="22">
        <x:f t="shared" si="2"/>
        <x:v>0.45</x:v>
      </x:c>
      <x:c r="AC26" s="22">
        <x:f t="shared" si="2"/>
        <x:v>0.15</x:v>
      </x:c>
      <x:c r="AD26" s="22">
        <x:f t="shared" si="2"/>
        <x:v>0.05</x:v>
      </x:c>
      <x:c r="AE26" s="22">
        <x:f t="shared" si="2"/>
        <x:v>0.05</x:v>
      </x:c>
      <x:c r="AF26" s="22">
        <x:f t="shared" si="2"/>
        <x:v>0</x:v>
      </x:c>
      <x:c r="AG26" s="22">
        <x:f t="shared" si="2"/>
        <x:v>0.21</x:v>
      </x:c>
      <x:c r="AH26" s="22">
        <x:f t="shared" si="2"/>
        <x:v>0</x:v>
      </x:c>
      <x:c r="AI26" s="22">
        <x:f t="shared" si="2"/>
        <x:v>0</x:v>
      </x:c>
      <x:c r="AJ26" s="22">
        <x:f t="shared" si="2"/>
        <x:v>0</x:v>
      </x:c>
      <x:c r="AK26" s="22">
        <x:f t="shared" si="2"/>
        <x:v>0</x:v>
      </x:c>
      <x:c r="AL26" s="22">
        <x:f t="shared" si="2"/>
        <x:v>0</x:v>
      </x:c>
      <x:c r="AM26" s="22">
        <x:f t="shared" si="2"/>
        <x:v>0</x:v>
      </x:c>
      <x:c r="AN26" s="22">
        <x:f t="shared" si="2"/>
        <x:v>0</x:v>
      </x:c>
      <x:c r="AO26" s="22">
        <x:f t="shared" si="2"/>
        <x:v>0</x:v>
      </x:c>
      <x:c r="AP26" s="22">
        <x:f t="shared" si="2"/>
        <x:v>0</x:v>
      </x:c>
      <x:c r="AQ26" s="22">
        <x:f t="shared" si="2"/>
        <x:v>0</x:v>
      </x:c>
      <x:c r="AR26" s="22" t="n">
        <x:f t="shared" si="2">SUM(AR2:AR25)</x:f>
        <x:v>13.931999999999999</x:v>
      </x:c>
      <x:c r="AS26" s="22"/>
      <x:c r="AT26" s="10"/>
    </x:row>
  </x:sheetData>
  <x:mergeCells>
    <x:mergeCell ref="A26:B26"/>
  </x:mergeCells>
  <x:conditionalFormatting sqref="A12:AS17">
    <x:cfRule type="expression" dxfId="11" priority="25">
      <x:formula>#REF!=1</x:formula>
    </x:cfRule>
    <x:cfRule type="expression" dxfId="10" priority="26">
      <x:formula>#REF!=2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25"/>
  <x:cols>
    <x:col min="1" max="1" width="11.25" style="1" customWidth="1"/>
    <x:col min="2" max="2" width="13.25" style="1" customWidth="1"/>
    <x:col min="3" max="3" width="7" style="1" customWidth="1"/>
    <x:col min="4" max="4" width="10.5" style="1" customWidth="1"/>
    <x:col min="5" max="6" width="7" style="1" customWidth="1"/>
    <x:col min="7" max="7" width="11.5" style="1" customWidth="1"/>
    <x:col min="8" max="8" width="15.375" style="1" customWidth="1"/>
    <x:col min="9" max="9" width="17.375" style="1" customWidth="1"/>
    <x:col min="10" max="10" width="6.375" style="1" customWidth="1"/>
    <x:col min="11" max="11" width="10.5" style="1" customWidth="1"/>
    <x:col min="12" max="12" width="15.375" style="1" customWidth="1"/>
    <x:col min="13" max="13" width="8.875" style="1" customWidth="1"/>
    <x:col min="14" max="14" width="6.375" style="1" customWidth="1"/>
    <x:col min="15" max="15" width="17.375" style="1" customWidth="1"/>
    <x:col min="16" max="16" width="15.375" style="1" customWidth="1"/>
    <x:col min="17" max="17" width="24.125" style="1" customWidth="1"/>
    <x:col min="18" max="18" width="8.75" style="1" customWidth="1"/>
    <x:col min="19" max="20" width="13.625" style="1" customWidth="1"/>
    <x:col min="21" max="21" width="17.375" style="1" customWidth="1"/>
    <x:col min="22" max="22" width="10.5" style="1" customWidth="1"/>
    <x:col min="23" max="23" width="17.375" style="1" customWidth="1"/>
    <x:col min="24" max="24" width="19.25" style="1" customWidth="1"/>
    <x:col min="25" max="25" width="10.5" style="1" customWidth="1"/>
    <x:col min="26" max="26" width="12.5" style="1" customWidth="1"/>
    <x:col min="27" max="27" width="7.5" style="1" customWidth="1"/>
    <x:col min="28" max="30" width="10.5" style="1" customWidth="1"/>
    <x:col min="31" max="31" width="15.375" style="1" customWidth="1"/>
    <x:col min="32" max="32" width="17.375" style="1" customWidth="1"/>
    <x:col min="33" max="33" width="12.5" style="1" customWidth="1"/>
    <x:col min="34" max="35" width="11.625" style="1" customWidth="1"/>
    <x:col min="36" max="36" width="17.375" style="1" customWidth="1"/>
    <x:col min="37" max="37" width="7" style="1" customWidth="1"/>
    <x:col min="38" max="38" width="12.5" style="1" customWidth="1"/>
    <x:col min="39" max="39" width="17.375" style="1" customWidth="1"/>
    <x:col min="40" max="40" width="15.375" style="1" customWidth="1"/>
    <x:col min="41" max="41" width="7" style="1" customWidth="1"/>
    <x:col min="42" max="42" width="14.375" style="1" customWidth="1"/>
    <x:col min="43" max="43" width="10.5" style="1" customWidth="1"/>
    <x:col min="44" max="44" width="18.125" style="1" customWidth="1"/>
    <x:col min="45" max="45" width="16.25" style="1" customWidth="1"/>
    <x:col min="46" max="46" width="27.875" style="1" customWidth="1"/>
    <x:col min="47" max="16384" width="9" style="1" customWidth="0"/>
  </x:cols>
  <x:sheetData>
    <x:row r="1" ht="15">
      <x:c r="A1" s="13" t="s">
        <x:v>220</x:v>
      </x:c>
      <x:c r="B1" s="13" t="s">
        <x:v>221</x:v>
      </x:c>
      <x:c r="C1" s="13" t="s">
        <x:v>46</x:v>
      </x:c>
      <x:c r="D1" s="13" t="s">
        <x:v>52</x:v>
      </x:c>
      <x:c r="E1" s="13" t="s">
        <x:v>55</x:v>
      </x:c>
      <x:c r="F1" s="13" t="s">
        <x:v>59</x:v>
      </x:c>
      <x:c r="G1" s="13" t="s">
        <x:v>64</x:v>
      </x:c>
      <x:c r="H1" s="13" t="s">
        <x:v>68</x:v>
      </x:c>
      <x:c r="I1" s="13" t="s">
        <x:v>72</x:v>
      </x:c>
      <x:c r="J1" s="13" t="s">
        <x:v>76</x:v>
      </x:c>
      <x:c r="K1" s="13" t="s">
        <x:v>81</x:v>
      </x:c>
      <x:c r="L1" s="13" t="s">
        <x:v>86</x:v>
      </x:c>
      <x:c r="M1" s="13" t="s">
        <x:v>91</x:v>
      </x:c>
      <x:c r="N1" s="13" t="s">
        <x:v>96</x:v>
      </x:c>
      <x:c r="O1" s="13" t="s">
        <x:v>100</x:v>
      </x:c>
      <x:c r="P1" s="13" t="s">
        <x:v>105</x:v>
      </x:c>
      <x:c r="Q1" s="13" t="s">
        <x:v>109</x:v>
      </x:c>
      <x:c r="R1" s="13" t="s">
        <x:v>114</x:v>
      </x:c>
      <x:c r="S1" s="13" t="s">
        <x:v>119</x:v>
      </x:c>
      <x:c r="T1" s="13" t="s">
        <x:v>122</x:v>
      </x:c>
      <x:c r="U1" s="13" t="s">
        <x:v>125</x:v>
      </x:c>
      <x:c r="V1" s="13" t="s">
        <x:v>128</x:v>
      </x:c>
      <x:c r="W1" s="13" t="s">
        <x:v>132</x:v>
      </x:c>
      <x:c r="X1" s="13" t="s">
        <x:v>136</x:v>
      </x:c>
      <x:c r="Y1" s="13" t="s">
        <x:v>140</x:v>
      </x:c>
      <x:c r="Z1" s="13" t="s">
        <x:v>143</x:v>
      </x:c>
      <x:c r="AA1" s="13" t="s">
        <x:v>148</x:v>
      </x:c>
      <x:c r="AB1" s="13" t="s">
        <x:v>152</x:v>
      </x:c>
      <x:c r="AC1" s="13" t="s">
        <x:v>156</x:v>
      </x:c>
      <x:c r="AD1" s="13" t="s">
        <x:v>160</x:v>
      </x:c>
      <x:c r="AE1" s="13" t="s">
        <x:v>164</x:v>
      </x:c>
      <x:c r="AF1" s="13" t="s">
        <x:v>168</x:v>
      </x:c>
      <x:c r="AG1" s="13" t="s">
        <x:v>172</x:v>
      </x:c>
      <x:c r="AH1" s="13" t="s">
        <x:v>176</x:v>
      </x:c>
      <x:c r="AI1" s="13" t="s">
        <x:v>181</x:v>
      </x:c>
      <x:c r="AJ1" s="13" t="s">
        <x:v>185</x:v>
      </x:c>
      <x:c r="AK1" s="13" t="s">
        <x:v>190</x:v>
      </x:c>
      <x:c r="AL1" s="13" t="s">
        <x:v>194</x:v>
      </x:c>
      <x:c r="AM1" s="13" t="s">
        <x:v>199</x:v>
      </x:c>
      <x:c r="AN1" s="13" t="s">
        <x:v>202</x:v>
      </x:c>
      <x:c r="AO1" s="13" t="s">
        <x:v>207</x:v>
      </x:c>
      <x:c r="AP1" s="13" t="s">
        <x:v>212</x:v>
      </x:c>
      <x:c r="AQ1" s="13" t="s">
        <x:v>216</x:v>
      </x:c>
      <x:c r="AR1" s="13" t="s">
        <x:v>222</x:v>
      </x:c>
      <x:c r="AS1" s="13" t="s">
        <x:v>223</x:v>
      </x:c>
      <x:c r="AT1" s="13" t="s">
        <x:v>224</x:v>
      </x:c>
    </x:row>
    <x:row r="2" ht="15">
      <x:c r="A2" s="18">
        <x:v>0</x:v>
      </x:c>
      <x:c r="B2" s="19" t="s">
        <x:v>225</x:v>
      </x:c>
      <x:c r="C2" s="20">
        <x:v>0.04</x:v>
      </x:c>
      <x:c r="D2" s="20">
        <x:v>2.5000000000000001E-2</x:v>
      </x:c>
      <x:c r="E2" s="20">
        <x:v>1.7999999999999999E-2</x:v>
      </x:c>
      <x:c r="F2" s="20">
        <x:v>0.02</x:v>
      </x:c>
      <x:c r="G2" s="20">
        <x:v>1.2E-2</x:v>
      </x:c>
      <x:c r="H2" s="20">
        <x:v>8.0000000000000002E-3</x:v>
      </x:c>
      <x:c r="I2" s="20">
        <x:v>0.02</x:v>
      </x:c>
      <x:c r="J2" s="20">
        <x:v>1.4999999999999999E-2</x:v>
      </x:c>
      <x:c r="K2" s="20">
        <x:v>0</x:v>
      </x:c>
      <x:c r="L2" s="20">
        <x:v>0</x:v>
      </x:c>
      <x:c r="M2" s="20">
        <x:v>0</x:v>
      </x:c>
      <x:c r="N2" s="20">
        <x:v>0</x:v>
      </x:c>
      <x:c r="O2" s="20">
        <x:v>0</x:v>
      </x:c>
      <x:c r="P2" s="20">
        <x:v>0</x:v>
      </x:c>
      <x:c r="Q2" s="20">
        <x:v>0</x:v>
      </x:c>
      <x:c r="R2" s="20">
        <x:v>0</x:v>
      </x:c>
      <x:c r="S2" s="20">
        <x:v>0</x:v>
      </x:c>
      <x:c r="T2" s="20">
        <x:v>0</x:v>
      </x:c>
      <x:c r="U2" s="20">
        <x:v>0</x:v>
      </x:c>
      <x:c r="V2" s="20">
        <x:v>0</x:v>
      </x:c>
      <x:c r="W2" s="20">
        <x:v>0</x:v>
      </x:c>
      <x:c r="X2" s="20">
        <x:v>0</x:v>
      </x:c>
      <x:c r="Y2" s="20">
        <x:v>0</x:v>
      </x:c>
      <x:c r="Z2" s="20">
        <x:v>0</x:v>
      </x:c>
      <x:c r="AA2" s="20">
        <x:v>0</x:v>
      </x:c>
      <x:c r="AB2" s="20">
        <x:v>0</x:v>
      </x:c>
      <x:c r="AC2" s="20">
        <x:v>0</x:v>
      </x:c>
      <x:c r="AD2" s="20">
        <x:v>0</x:v>
      </x:c>
      <x:c r="AE2" s="20">
        <x:v>0</x:v>
      </x:c>
      <x:c r="AF2" s="20">
        <x:v>0</x:v>
      </x:c>
      <x:c r="AG2" s="20">
        <x:v>0</x:v>
      </x:c>
      <x:c r="AH2" s="20">
        <x:v>0</x:v>
      </x:c>
      <x:c r="AI2" s="20">
        <x:v>0</x:v>
      </x:c>
      <x:c r="AJ2" s="20">
        <x:v>0</x:v>
      </x:c>
      <x:c r="AK2" s="20">
        <x:v>0</x:v>
      </x:c>
      <x:c r="AL2" s="20">
        <x:v>0</x:v>
      </x:c>
      <x:c r="AM2" s="20">
        <x:v>0</x:v>
      </x:c>
      <x:c r="AN2" s="20">
        <x:v>0</x:v>
      </x:c>
      <x:c r="AO2" s="20">
        <x:v>0</x:v>
      </x:c>
      <x:c r="AP2" s="20">
        <x:v>0</x:v>
      </x:c>
      <x:c r="AQ2" s="20">
        <x:v>0</x:v>
      </x:c>
      <x:c r="AR2" s="20" t="n">
        <x:f>SUM(C2:AQ2)</x:f>
        <x:v>0.15799999999999997</x:v>
      </x:c>
      <x:c r="AS2" s="20" t="n">
        <x:f>AR2</x:f>
        <x:v>0.15799999999999997</x:v>
      </x:c>
      <x:c r="AT2" s="11" t="s">
        <x:v>226</x:v>
      </x:c>
    </x:row>
    <x:row r="3" ht="15">
      <x:c r="A3" s="18">
        <x:v>1</x:v>
      </x:c>
      <x:c r="B3" s="19" t="s">
        <x:v>227</x:v>
      </x:c>
      <x:c r="C3" s="20">
        <x:v>0.04</x:v>
      </x:c>
      <x:c r="D3" s="20">
        <x:v>2.5000000000000001E-2</x:v>
      </x:c>
      <x:c r="E3" s="20">
        <x:v>1.7999999999999999E-2</x:v>
      </x:c>
      <x:c r="F3" s="20">
        <x:v>0.02</x:v>
      </x:c>
      <x:c r="G3" s="20">
        <x:v>1.2E-2</x:v>
      </x:c>
      <x:c r="H3" s="20">
        <x:v>8.0000000000000002E-3</x:v>
      </x:c>
      <x:c r="I3" s="20">
        <x:v>0.02</x:v>
      </x:c>
      <x:c r="J3" s="20">
        <x:v>1.4999999999999999E-2</x:v>
      </x:c>
      <x:c r="K3" s="20">
        <x:v>0</x:v>
      </x:c>
      <x:c r="L3" s="20">
        <x:v>0</x:v>
      </x:c>
      <x:c r="M3" s="20">
        <x:v>0</x:v>
      </x:c>
      <x:c r="N3" s="20">
        <x:v>0</x:v>
      </x:c>
      <x:c r="O3" s="20">
        <x:v>0</x:v>
      </x:c>
      <x:c r="P3" s="20">
        <x:v>0</x:v>
      </x:c>
      <x:c r="Q3" s="20">
        <x:v>0</x:v>
      </x:c>
      <x:c r="R3" s="20">
        <x:v>0</x:v>
      </x:c>
      <x:c r="S3" s="20">
        <x:v>0</x:v>
      </x:c>
      <x:c r="T3" s="20">
        <x:v>0</x:v>
      </x:c>
      <x:c r="U3" s="20">
        <x:v>0</x:v>
      </x:c>
      <x:c r="V3" s="20">
        <x:v>0</x:v>
      </x:c>
      <x:c r="W3" s="20">
        <x:v>0</x:v>
      </x:c>
      <x:c r="X3" s="20">
        <x:v>0</x:v>
      </x:c>
      <x:c r="Y3" s="20">
        <x:v>0</x:v>
      </x:c>
      <x:c r="Z3" s="20">
        <x:v>0</x:v>
      </x:c>
      <x:c r="AA3" s="20">
        <x:v>0</x:v>
      </x:c>
      <x:c r="AB3" s="20">
        <x:v>0</x:v>
      </x:c>
      <x:c r="AC3" s="20">
        <x:v>0</x:v>
      </x:c>
      <x:c r="AD3" s="20">
        <x:v>0</x:v>
      </x:c>
      <x:c r="AE3" s="20">
        <x:v>0</x:v>
      </x:c>
      <x:c r="AF3" s="20">
        <x:v>0</x:v>
      </x:c>
      <x:c r="AG3" s="20">
        <x:v>0</x:v>
      </x:c>
      <x:c r="AH3" s="20">
        <x:v>0</x:v>
      </x:c>
      <x:c r="AI3" s="20">
        <x:v>0</x:v>
      </x:c>
      <x:c r="AJ3" s="20">
        <x:v>0</x:v>
      </x:c>
      <x:c r="AK3" s="20">
        <x:v>0</x:v>
      </x:c>
      <x:c r="AL3" s="20">
        <x:v>0</x:v>
      </x:c>
      <x:c r="AM3" s="20">
        <x:v>0</x:v>
      </x:c>
      <x:c r="AN3" s="20">
        <x:v>0</x:v>
      </x:c>
      <x:c r="AO3" s="20">
        <x:v>0</x:v>
      </x:c>
      <x:c r="AP3" s="20">
        <x:v>0</x:v>
      </x:c>
      <x:c r="AQ3" s="20">
        <x:v>0</x:v>
      </x:c>
      <x:c r="AR3" s="20" t="n">
        <x:f t="shared" ref="AR3:AR25" si="0">SUM(C3:AQ3)</x:f>
        <x:v>0.15799999999999997</x:v>
      </x:c>
      <x:c r="AS3" s="20" t="n">
        <x:f>AS2+AR3</x:f>
        <x:v>0.31599999999999995</x:v>
      </x:c>
      <x:c r="AT3" s="11" t="s">
        <x:v>226</x:v>
      </x:c>
    </x:row>
    <x:row r="4" ht="15">
      <x:c r="A4" s="18">
        <x:v>2</x:v>
      </x:c>
      <x:c r="B4" s="19" t="s">
        <x:v>228</x:v>
      </x:c>
      <x:c r="C4" s="20">
        <x:v>0.04</x:v>
      </x:c>
      <x:c r="D4" s="20">
        <x:v>2.5000000000000001E-2</x:v>
      </x:c>
      <x:c r="E4" s="20">
        <x:v>1.7999999999999999E-2</x:v>
      </x:c>
      <x:c r="F4" s="20">
        <x:v>0.02</x:v>
      </x:c>
      <x:c r="G4" s="20">
        <x:v>1.2E-2</x:v>
      </x:c>
      <x:c r="H4" s="20">
        <x:v>8.0000000000000002E-3</x:v>
      </x:c>
      <x:c r="I4" s="20">
        <x:v>0.02</x:v>
      </x:c>
      <x:c r="J4" s="20">
        <x:v>1.4999999999999999E-2</x:v>
      </x:c>
      <x:c r="K4" s="20">
        <x:v>0</x:v>
      </x:c>
      <x:c r="L4" s="20">
        <x:v>0</x:v>
      </x:c>
      <x:c r="M4" s="20">
        <x:v>0</x:v>
      </x:c>
      <x:c r="N4" s="20">
        <x:v>0</x:v>
      </x:c>
      <x:c r="O4" s="20">
        <x:v>0</x:v>
      </x:c>
      <x:c r="P4" s="20">
        <x:v>0</x:v>
      </x:c>
      <x:c r="Q4" s="20">
        <x:v>0</x:v>
      </x:c>
      <x:c r="R4" s="20">
        <x:v>0</x:v>
      </x:c>
      <x:c r="S4" s="20">
        <x:v>0</x:v>
      </x:c>
      <x:c r="T4" s="20">
        <x:v>0</x:v>
      </x:c>
      <x:c r="U4" s="20">
        <x:v>0</x:v>
      </x:c>
      <x:c r="V4" s="20">
        <x:v>0</x:v>
      </x:c>
      <x:c r="W4" s="20">
        <x:v>0</x:v>
      </x:c>
      <x:c r="X4" s="20">
        <x:v>0</x:v>
      </x:c>
      <x:c r="Y4" s="20">
        <x:v>0</x:v>
      </x:c>
      <x:c r="Z4" s="20">
        <x:v>0</x:v>
      </x:c>
      <x:c r="AA4" s="20">
        <x:v>0</x:v>
      </x:c>
      <x:c r="AB4" s="20">
        <x:v>0</x:v>
      </x:c>
      <x:c r="AC4" s="20">
        <x:v>0</x:v>
      </x:c>
      <x:c r="AD4" s="20">
        <x:v>0</x:v>
      </x:c>
      <x:c r="AE4" s="20">
        <x:v>0</x:v>
      </x:c>
      <x:c r="AF4" s="20">
        <x:v>0</x:v>
      </x:c>
      <x:c r="AG4" s="20">
        <x:v>0</x:v>
      </x:c>
      <x:c r="AH4" s="20">
        <x:v>0</x:v>
      </x:c>
      <x:c r="AI4" s="20">
        <x:v>0</x:v>
      </x:c>
      <x:c r="AJ4" s="20">
        <x:v>0</x:v>
      </x:c>
      <x:c r="AK4" s="20">
        <x:v>0</x:v>
      </x:c>
      <x:c r="AL4" s="20">
        <x:v>0</x:v>
      </x:c>
      <x:c r="AM4" s="20">
        <x:v>0</x:v>
      </x:c>
      <x:c r="AN4" s="20">
        <x:v>0</x:v>
      </x:c>
      <x:c r="AO4" s="20">
        <x:v>0</x:v>
      </x:c>
      <x:c r="AP4" s="20">
        <x:v>0</x:v>
      </x:c>
      <x:c r="AQ4" s="20">
        <x:v>0</x:v>
      </x:c>
      <x:c r="AR4" s="20">
        <x:f t="shared" si="0"/>
        <x:v>0.15799999999999997</x:v>
      </x:c>
      <x:c r="AS4" s="20" t="n">
        <x:f t="shared" ref="AS4:AS25" si="1">AS3+AR4</x:f>
        <x:v>0.4739999999999999</x:v>
      </x:c>
      <x:c r="AT4" s="11" t="s">
        <x:v>226</x:v>
      </x:c>
    </x:row>
    <x:row r="5" ht="15">
      <x:c r="A5" s="18">
        <x:v>3</x:v>
      </x:c>
      <x:c r="B5" s="19" t="s">
        <x:v>229</x:v>
      </x:c>
      <x:c r="C5" s="20">
        <x:v>0.04</x:v>
      </x:c>
      <x:c r="D5" s="20">
        <x:v>2.5000000000000001E-2</x:v>
      </x:c>
      <x:c r="E5" s="20">
        <x:v>1.7999999999999999E-2</x:v>
      </x:c>
      <x:c r="F5" s="20">
        <x:v>0.02</x:v>
      </x:c>
      <x:c r="G5" s="20">
        <x:v>1.2E-2</x:v>
      </x:c>
      <x:c r="H5" s="20">
        <x:v>8.0000000000000002E-3</x:v>
      </x:c>
      <x:c r="I5" s="20">
        <x:v>0.02</x:v>
      </x:c>
      <x:c r="J5" s="20">
        <x:v>1.4999999999999999E-2</x:v>
      </x:c>
      <x:c r="K5" s="20">
        <x:v>0</x:v>
      </x:c>
      <x:c r="L5" s="20">
        <x:v>0</x:v>
      </x:c>
      <x:c r="M5" s="20">
        <x:v>0</x:v>
      </x:c>
      <x:c r="N5" s="20">
        <x:v>0</x:v>
      </x:c>
      <x:c r="O5" s="20">
        <x:v>0</x:v>
      </x:c>
      <x:c r="P5" s="20">
        <x:v>0</x:v>
      </x:c>
      <x:c r="Q5" s="20">
        <x:v>0</x:v>
      </x:c>
      <x:c r="R5" s="20">
        <x:v>0</x:v>
      </x:c>
      <x:c r="S5" s="20">
        <x:v>0</x:v>
      </x:c>
      <x:c r="T5" s="20">
        <x:v>0</x:v>
      </x:c>
      <x:c r="U5" s="20">
        <x:v>0</x:v>
      </x:c>
      <x:c r="V5" s="20">
        <x:v>0</x:v>
      </x:c>
      <x:c r="W5" s="20">
        <x:v>0</x:v>
      </x:c>
      <x:c r="X5" s="20">
        <x:v>0</x:v>
      </x:c>
      <x:c r="Y5" s="20">
        <x:v>0</x:v>
      </x:c>
      <x:c r="Z5" s="20">
        <x:v>0</x:v>
      </x:c>
      <x:c r="AA5" s="20">
        <x:v>0</x:v>
      </x:c>
      <x:c r="AB5" s="20">
        <x:v>0</x:v>
      </x:c>
      <x:c r="AC5" s="20">
        <x:v>0</x:v>
      </x:c>
      <x:c r="AD5" s="20">
        <x:v>0</x:v>
      </x:c>
      <x:c r="AE5" s="20">
        <x:v>0</x:v>
      </x:c>
      <x:c r="AF5" s="20">
        <x:v>0</x:v>
      </x:c>
      <x:c r="AG5" s="20">
        <x:v>0</x:v>
      </x:c>
      <x:c r="AH5" s="20">
        <x:v>0</x:v>
      </x:c>
      <x:c r="AI5" s="20">
        <x:v>0</x:v>
      </x:c>
      <x:c r="AJ5" s="20">
        <x:v>0</x:v>
      </x:c>
      <x:c r="AK5" s="20">
        <x:v>0</x:v>
      </x:c>
      <x:c r="AL5" s="20">
        <x:v>0</x:v>
      </x:c>
      <x:c r="AM5" s="20">
        <x:v>0</x:v>
      </x:c>
      <x:c r="AN5" s="20">
        <x:v>0</x:v>
      </x:c>
      <x:c r="AO5" s="20">
        <x:v>0</x:v>
      </x:c>
      <x:c r="AP5" s="20">
        <x:v>0</x:v>
      </x:c>
      <x:c r="AQ5" s="20">
        <x:v>0</x:v>
      </x:c>
      <x:c r="AR5" s="20">
        <x:f t="shared" si="0"/>
        <x:v>0.15799999999999997</x:v>
      </x:c>
      <x:c r="AS5" s="20">
        <x:f t="shared" si="1"/>
        <x:v>0.6319999999999999</x:v>
      </x:c>
      <x:c r="AT5" s="11" t="s">
        <x:v>226</x:v>
      </x:c>
    </x:row>
    <x:row r="6" ht="15">
      <x:c r="A6" s="18">
        <x:v>4</x:v>
      </x:c>
      <x:c r="B6" s="19" t="s">
        <x:v>230</x:v>
      </x:c>
      <x:c r="C6" s="20">
        <x:v>0.04</x:v>
      </x:c>
      <x:c r="D6" s="20">
        <x:v>2.5000000000000001E-2</x:v>
      </x:c>
      <x:c r="E6" s="20">
        <x:v>1.7999999999999999E-2</x:v>
      </x:c>
      <x:c r="F6" s="20">
        <x:v>0.02</x:v>
      </x:c>
      <x:c r="G6" s="20">
        <x:v>1.2E-2</x:v>
      </x:c>
      <x:c r="H6" s="20">
        <x:v>8.0000000000000002E-3</x:v>
      </x:c>
      <x:c r="I6" s="20">
        <x:v>0.02</x:v>
      </x:c>
      <x:c r="J6" s="20">
        <x:v>1.4999999999999999E-2</x:v>
      </x:c>
      <x:c r="K6" s="20">
        <x:v>0</x:v>
      </x:c>
      <x:c r="L6" s="20">
        <x:v>0</x:v>
      </x:c>
      <x:c r="M6" s="20">
        <x:v>0</x:v>
      </x:c>
      <x:c r="N6" s="20">
        <x:v>0</x:v>
      </x:c>
      <x:c r="O6" s="20">
        <x:v>0</x:v>
      </x:c>
      <x:c r="P6" s="20">
        <x:v>0</x:v>
      </x:c>
      <x:c r="Q6" s="20">
        <x:v>0</x:v>
      </x:c>
      <x:c r="R6" s="20">
        <x:v>0</x:v>
      </x:c>
      <x:c r="S6" s="20">
        <x:v>0</x:v>
      </x:c>
      <x:c r="T6" s="20">
        <x:v>0</x:v>
      </x:c>
      <x:c r="U6" s="20">
        <x:v>0</x:v>
      </x:c>
      <x:c r="V6" s="20">
        <x:v>0</x:v>
      </x:c>
      <x:c r="W6" s="20">
        <x:v>0</x:v>
      </x:c>
      <x:c r="X6" s="20">
        <x:v>0</x:v>
      </x:c>
      <x:c r="Y6" s="20">
        <x:v>0</x:v>
      </x:c>
      <x:c r="Z6" s="20">
        <x:v>0</x:v>
      </x:c>
      <x:c r="AA6" s="20">
        <x:v>0</x:v>
      </x:c>
      <x:c r="AB6" s="20">
        <x:v>0</x:v>
      </x:c>
      <x:c r="AC6" s="20">
        <x:v>0</x:v>
      </x:c>
      <x:c r="AD6" s="20">
        <x:v>0</x:v>
      </x:c>
      <x:c r="AE6" s="20">
        <x:v>0</x:v>
      </x:c>
      <x:c r="AF6" s="20">
        <x:v>0</x:v>
      </x:c>
      <x:c r="AG6" s="20">
        <x:v>0</x:v>
      </x:c>
      <x:c r="AH6" s="20">
        <x:v>0</x:v>
      </x:c>
      <x:c r="AI6" s="20">
        <x:v>0</x:v>
      </x:c>
      <x:c r="AJ6" s="20">
        <x:v>0</x:v>
      </x:c>
      <x:c r="AK6" s="20">
        <x:v>0</x:v>
      </x:c>
      <x:c r="AL6" s="20">
        <x:v>0</x:v>
      </x:c>
      <x:c r="AM6" s="20">
        <x:v>0</x:v>
      </x:c>
      <x:c r="AN6" s="20">
        <x:v>0</x:v>
      </x:c>
      <x:c r="AO6" s="20">
        <x:v>0</x:v>
      </x:c>
      <x:c r="AP6" s="20">
        <x:v>0</x:v>
      </x:c>
      <x:c r="AQ6" s="20">
        <x:v>0</x:v>
      </x:c>
      <x:c r="AR6" s="20">
        <x:f t="shared" si="0"/>
        <x:v>0.15799999999999997</x:v>
      </x:c>
      <x:c r="AS6" s="20">
        <x:f t="shared" si="1"/>
        <x:v>0.78999999999999981</x:v>
      </x:c>
      <x:c r="AT6" s="11" t="s">
        <x:v>226</x:v>
      </x:c>
    </x:row>
    <x:row r="7" ht="15">
      <x:c r="A7" s="18">
        <x:v>5</x:v>
      </x:c>
      <x:c r="B7" s="19" t="s">
        <x:v>231</x:v>
      </x:c>
      <x:c r="C7" s="20">
        <x:v>0.04</x:v>
      </x:c>
      <x:c r="D7" s="20">
        <x:v>2.5000000000000001E-2</x:v>
      </x:c>
      <x:c r="E7" s="20">
        <x:v>1.7999999999999999E-2</x:v>
      </x:c>
      <x:c r="F7" s="20">
        <x:v>0.02</x:v>
      </x:c>
      <x:c r="G7" s="20">
        <x:v>1.2E-2</x:v>
      </x:c>
      <x:c r="H7" s="20">
        <x:v>8.0000000000000002E-3</x:v>
      </x:c>
      <x:c r="I7" s="20">
        <x:v>0.02</x:v>
      </x:c>
      <x:c r="J7" s="20">
        <x:v>1.4999999999999999E-2</x:v>
      </x:c>
      <x:c r="K7" s="20">
        <x:v>0</x:v>
      </x:c>
      <x:c r="L7" s="20">
        <x:v>0</x:v>
      </x:c>
      <x:c r="M7" s="20">
        <x:v>0</x:v>
      </x:c>
      <x:c r="N7" s="20">
        <x:v>0</x:v>
      </x:c>
      <x:c r="O7" s="20">
        <x:v>0</x:v>
      </x:c>
      <x:c r="P7" s="20">
        <x:v>0</x:v>
      </x:c>
      <x:c r="Q7" s="20">
        <x:v>0</x:v>
      </x:c>
      <x:c r="R7" s="20">
        <x:v>0</x:v>
      </x:c>
      <x:c r="S7" s="20">
        <x:v>0</x:v>
      </x:c>
      <x:c r="T7" s="20">
        <x:v>0</x:v>
      </x:c>
      <x:c r="U7" s="20">
        <x:v>0</x:v>
      </x:c>
      <x:c r="V7" s="20">
        <x:v>0</x:v>
      </x:c>
      <x:c r="W7" s="20">
        <x:v>0</x:v>
      </x:c>
      <x:c r="X7" s="20">
        <x:v>0</x:v>
      </x:c>
      <x:c r="Y7" s="20">
        <x:v>0</x:v>
      </x:c>
      <x:c r="Z7" s="20">
        <x:v>0</x:v>
      </x:c>
      <x:c r="AA7" s="20">
        <x:v>0</x:v>
      </x:c>
      <x:c r="AB7" s="20">
        <x:v>0</x:v>
      </x:c>
      <x:c r="AC7" s="20">
        <x:v>0</x:v>
      </x:c>
      <x:c r="AD7" s="20">
        <x:v>0</x:v>
      </x:c>
      <x:c r="AE7" s="20">
        <x:v>0</x:v>
      </x:c>
      <x:c r="AF7" s="20">
        <x:v>0</x:v>
      </x:c>
      <x:c r="AG7" s="20">
        <x:v>0</x:v>
      </x:c>
      <x:c r="AH7" s="20">
        <x:v>0</x:v>
      </x:c>
      <x:c r="AI7" s="20">
        <x:v>0</x:v>
      </x:c>
      <x:c r="AJ7" s="20">
        <x:v>0</x:v>
      </x:c>
      <x:c r="AK7" s="20">
        <x:v>0</x:v>
      </x:c>
      <x:c r="AL7" s="20">
        <x:v>0</x:v>
      </x:c>
      <x:c r="AM7" s="20">
        <x:v>0</x:v>
      </x:c>
      <x:c r="AN7" s="20">
        <x:v>0</x:v>
      </x:c>
      <x:c r="AO7" s="20">
        <x:v>0</x:v>
      </x:c>
      <x:c r="AP7" s="20">
        <x:v>0</x:v>
      </x:c>
      <x:c r="AQ7" s="20">
        <x:v>0</x:v>
      </x:c>
      <x:c r="AR7" s="20">
        <x:f t="shared" si="0"/>
        <x:v>0.15799999999999997</x:v>
      </x:c>
      <x:c r="AS7" s="20">
        <x:f t="shared" si="1"/>
        <x:v>0.94799999999999973</x:v>
      </x:c>
      <x:c r="AT7" s="11" t="s">
        <x:v>226</x:v>
      </x:c>
    </x:row>
    <x:row r="8" ht="15">
      <x:c r="A8" s="18">
        <x:v>6</x:v>
      </x:c>
      <x:c r="B8" s="19" t="s">
        <x:v>232</x:v>
      </x:c>
      <x:c r="C8" s="20">
        <x:v>0.04</x:v>
      </x:c>
      <x:c r="D8" s="20">
        <x:v>2.5000000000000001E-2</x:v>
      </x:c>
      <x:c r="E8" s="20">
        <x:v>1.7999999999999999E-2</x:v>
      </x:c>
      <x:c r="F8" s="20">
        <x:v>0.04</x:v>
      </x:c>
      <x:c r="G8" s="20">
        <x:v>1.2E-2</x:v>
      </x:c>
      <x:c r="H8" s="20">
        <x:v>8.0000000000000002E-3</x:v>
      </x:c>
      <x:c r="I8" s="20">
        <x:v>0.02</x:v>
      </x:c>
      <x:c r="J8" s="20">
        <x:v>1.4999999999999999E-2</x:v>
      </x:c>
      <x:c r="K8" s="20">
        <x:v>2.5000000000000001E-2</x:v>
      </x:c>
      <x:c r="L8" s="20">
        <x:v>0</x:v>
      </x:c>
      <x:c r="M8" s="20">
        <x:v>0</x:v>
      </x:c>
      <x:c r="N8" s="20">
        <x:v>0</x:v>
      </x:c>
      <x:c r="O8" s="20">
        <x:v>0</x:v>
      </x:c>
      <x:c r="P8" s="20">
        <x:v>0</x:v>
      </x:c>
      <x:c r="Q8" s="20">
        <x:v>0</x:v>
      </x:c>
      <x:c r="R8" s="20">
        <x:v>0</x:v>
      </x:c>
      <x:c r="S8" s="20">
        <x:v>0</x:v>
      </x:c>
      <x:c r="T8" s="20">
        <x:v>0</x:v>
      </x:c>
      <x:c r="U8" s="20">
        <x:v>0</x:v>
      </x:c>
      <x:c r="V8" s="20">
        <x:v>0</x:v>
      </x:c>
      <x:c r="W8" s="20">
        <x:v>0</x:v>
      </x:c>
      <x:c r="X8" s="20">
        <x:v>0</x:v>
      </x:c>
      <x:c r="Y8" s="20">
        <x:v>0</x:v>
      </x:c>
      <x:c r="Z8" s="20">
        <x:v>0</x:v>
      </x:c>
      <x:c r="AA8" s="20">
        <x:v>0</x:v>
      </x:c>
      <x:c r="AB8" s="20">
        <x:v>0</x:v>
      </x:c>
      <x:c r="AC8" s="20">
        <x:v>0</x:v>
      </x:c>
      <x:c r="AD8" s="20">
        <x:v>0</x:v>
      </x:c>
      <x:c r="AE8" s="20">
        <x:v>0</x:v>
      </x:c>
      <x:c r="AF8" s="20">
        <x:v>0</x:v>
      </x:c>
      <x:c r="AG8" s="20">
        <x:v>0</x:v>
      </x:c>
      <x:c r="AH8" s="20">
        <x:v>0</x:v>
      </x:c>
      <x:c r="AI8" s="20">
        <x:v>0</x:v>
      </x:c>
      <x:c r="AJ8" s="20">
        <x:v>0</x:v>
      </x:c>
      <x:c r="AK8" s="20">
        <x:v>0</x:v>
      </x:c>
      <x:c r="AL8" s="20">
        <x:v>0</x:v>
      </x:c>
      <x:c r="AM8" s="20">
        <x:v>0</x:v>
      </x:c>
      <x:c r="AN8" s="20">
        <x:v>0</x:v>
      </x:c>
      <x:c r="AO8" s="20">
        <x:v>0</x:v>
      </x:c>
      <x:c r="AP8" s="20">
        <x:v>0</x:v>
      </x:c>
      <x:c r="AQ8" s="20">
        <x:v>0</x:v>
      </x:c>
      <x:c r="AR8" s="20">
        <x:f t="shared" si="0"/>
        <x:v>0.20299999999999999</x:v>
      </x:c>
      <x:c r="AS8" s="20">
        <x:f t="shared" si="1"/>
        <x:v>1.1509999999999998</x:v>
      </x:c>
      <x:c r="AT8" s="11" t="s">
        <x:v>263</x:v>
      </x:c>
    </x:row>
    <x:row r="9" ht="15">
      <x:c r="A9" s="18">
        <x:v>7</x:v>
      </x:c>
      <x:c r="B9" s="19" t="s">
        <x:v>234</x:v>
      </x:c>
      <x:c r="C9" s="20">
        <x:v>0.04</x:v>
      </x:c>
      <x:c r="D9" s="20">
        <x:v>2.5000000000000001E-2</x:v>
      </x:c>
      <x:c r="E9" s="20">
        <x:v>1.7999999999999999E-2</x:v>
      </x:c>
      <x:c r="F9" s="20">
        <x:v>0.04</x:v>
      </x:c>
      <x:c r="G9" s="20">
        <x:v>1.2E-2</x:v>
      </x:c>
      <x:c r="H9" s="20">
        <x:v>8.0000000000000002E-3</x:v>
      </x:c>
      <x:c r="I9" s="20">
        <x:v>0.02</x:v>
      </x:c>
      <x:c r="J9" s="20">
        <x:v>1.4999999999999999E-2</x:v>
      </x:c>
      <x:c r="K9" s="20">
        <x:v>2.5000000000000001E-2</x:v>
      </x:c>
      <x:c r="L9" s="20">
        <x:v>0</x:v>
      </x:c>
      <x:c r="M9" s="20">
        <x:v>0</x:v>
      </x:c>
      <x:c r="N9" s="20">
        <x:v>0</x:v>
      </x:c>
      <x:c r="O9" s="20">
        <x:v>0</x:v>
      </x:c>
      <x:c r="P9" s="20">
        <x:v>0</x:v>
      </x:c>
      <x:c r="Q9" s="20">
        <x:v>0</x:v>
      </x:c>
      <x:c r="R9" s="20">
        <x:v>0</x:v>
      </x:c>
      <x:c r="S9" s="20">
        <x:v>0</x:v>
      </x:c>
      <x:c r="T9" s="20">
        <x:v>0</x:v>
      </x:c>
      <x:c r="U9" s="20">
        <x:v>0</x:v>
      </x:c>
      <x:c r="V9" s="20">
        <x:v>0</x:v>
      </x:c>
      <x:c r="W9" s="20">
        <x:v>0</x:v>
      </x:c>
      <x:c r="X9" s="20">
        <x:v>0</x:v>
      </x:c>
      <x:c r="Y9" s="20">
        <x:v>0</x:v>
      </x:c>
      <x:c r="Z9" s="20">
        <x:v>0</x:v>
      </x:c>
      <x:c r="AA9" s="20">
        <x:v>0</x:v>
      </x:c>
      <x:c r="AB9" s="20">
        <x:v>0</x:v>
      </x:c>
      <x:c r="AC9" s="20">
        <x:v>0</x:v>
      </x:c>
      <x:c r="AD9" s="20">
        <x:v>0</x:v>
      </x:c>
      <x:c r="AE9" s="20">
        <x:v>0</x:v>
      </x:c>
      <x:c r="AF9" s="20">
        <x:v>0</x:v>
      </x:c>
      <x:c r="AG9" s="20">
        <x:v>0</x:v>
      </x:c>
      <x:c r="AH9" s="20">
        <x:v>0</x:v>
      </x:c>
      <x:c r="AI9" s="20">
        <x:v>0</x:v>
      </x:c>
      <x:c r="AJ9" s="20">
        <x:v>0</x:v>
      </x:c>
      <x:c r="AK9" s="20">
        <x:v>0</x:v>
      </x:c>
      <x:c r="AL9" s="20">
        <x:v>0</x:v>
      </x:c>
      <x:c r="AM9" s="20">
        <x:v>0</x:v>
      </x:c>
      <x:c r="AN9" s="20">
        <x:v>0</x:v>
      </x:c>
      <x:c r="AO9" s="20">
        <x:v>0</x:v>
      </x:c>
      <x:c r="AP9" s="20">
        <x:v>0</x:v>
      </x:c>
      <x:c r="AQ9" s="20">
        <x:v>0</x:v>
      </x:c>
      <x:c r="AR9" s="20">
        <x:f t="shared" si="0"/>
        <x:v>0.20299999999999999</x:v>
      </x:c>
      <x:c r="AS9" s="20">
        <x:f t="shared" si="1"/>
        <x:v>1.3539999999999999</x:v>
      </x:c>
      <x:c r="AT9" s="11" t="s">
        <x:v>263</x:v>
      </x:c>
    </x:row>
    <x:row r="10" ht="15">
      <x:c r="A10" s="18">
        <x:v>8</x:v>
      </x:c>
      <x:c r="B10" s="19" t="s">
        <x:v>236</x:v>
      </x:c>
      <x:c r="C10" s="20">
        <x:v>0.04</x:v>
      </x:c>
      <x:c r="D10" s="20">
        <x:v>2.5000000000000001E-2</x:v>
      </x:c>
      <x:c r="E10" s="20">
        <x:v>1.7999999999999999E-2</x:v>
      </x:c>
      <x:c r="F10" s="20">
        <x:v>0.04</x:v>
      </x:c>
      <x:c r="G10" s="20">
        <x:v>1.2E-2</x:v>
      </x:c>
      <x:c r="H10" s="20">
        <x:v>8.0000000000000002E-3</x:v>
      </x:c>
      <x:c r="I10" s="20">
        <x:v>0.02</x:v>
      </x:c>
      <x:c r="J10" s="20">
        <x:v>1.4999999999999999E-2</x:v>
      </x:c>
      <x:c r="K10" s="20">
        <x:v>2.5000000000000001E-2</x:v>
      </x:c>
      <x:c r="L10" s="20">
        <x:v>0.03</x:v>
      </x:c>
      <x:c r="M10" s="20">
        <x:v>0.08</x:v>
      </x:c>
      <x:c r="N10" s="20">
        <x:v>0</x:v>
      </x:c>
      <x:c r="O10" s="20">
        <x:v>0</x:v>
      </x:c>
      <x:c r="P10" s="20">
        <x:v>0</x:v>
      </x:c>
      <x:c r="Q10" s="20">
        <x:v>0</x:v>
      </x:c>
      <x:c r="R10" s="20">
        <x:v>0</x:v>
      </x:c>
      <x:c r="S10" s="20">
        <x:v>0</x:v>
      </x:c>
      <x:c r="T10" s="20">
        <x:v>0</x:v>
      </x:c>
      <x:c r="U10" s="20">
        <x:v>0.25</x:v>
      </x:c>
      <x:c r="V10" s="20">
        <x:v>0.04</x:v>
      </x:c>
      <x:c r="W10" s="20">
        <x:v>0</x:v>
      </x:c>
      <x:c r="X10" s="20">
        <x:v>0.1</x:v>
      </x:c>
      <x:c r="Y10" s="20">
        <x:v>0</x:v>
      </x:c>
      <x:c r="Z10" s="20">
        <x:v>0</x:v>
      </x:c>
      <x:c r="AA10" s="20">
        <x:v>0</x:v>
      </x:c>
      <x:c r="AB10" s="20">
        <x:v>0</x:v>
      </x:c>
      <x:c r="AC10" s="20">
        <x:v>0</x:v>
      </x:c>
      <x:c r="AD10" s="20">
        <x:v>0</x:v>
      </x:c>
      <x:c r="AE10" s="20">
        <x:v>0</x:v>
      </x:c>
      <x:c r="AF10" s="20">
        <x:v>0</x:v>
      </x:c>
      <x:c r="AG10" s="20">
        <x:v>0</x:v>
      </x:c>
      <x:c r="AH10" s="20">
        <x:v>0</x:v>
      </x:c>
      <x:c r="AI10" s="20">
        <x:v>0</x:v>
      </x:c>
      <x:c r="AJ10" s="20">
        <x:v>0</x:v>
      </x:c>
      <x:c r="AK10" s="20">
        <x:v>0</x:v>
      </x:c>
      <x:c r="AL10" s="20">
        <x:v>0</x:v>
      </x:c>
      <x:c r="AM10" s="20">
        <x:v>0</x:v>
      </x:c>
      <x:c r="AN10" s="20">
        <x:v>0</x:v>
      </x:c>
      <x:c r="AO10" s="20">
        <x:v>0</x:v>
      </x:c>
      <x:c r="AP10" s="20">
        <x:v>0</x:v>
      </x:c>
      <x:c r="AQ10" s="20">
        <x:v>0</x:v>
      </x:c>
      <x:c r="AR10" s="20">
        <x:f t="shared" si="0"/>
        <x:v>0.70299999999999996</x:v>
      </x:c>
      <x:c r="AS10" s="20">
        <x:f t="shared" si="1"/>
        <x:v>2.0569999999999999</x:v>
      </x:c>
      <x:c r="AT10" s="11" t="s">
        <x:v>264</x:v>
      </x:c>
    </x:row>
    <x:row r="11" ht="15">
      <x:c r="A11" s="18">
        <x:v>9</x:v>
      </x:c>
      <x:c r="B11" s="19" t="s">
        <x:v>238</x:v>
      </x:c>
      <x:c r="C11" s="20">
        <x:v>0.04</x:v>
      </x:c>
      <x:c r="D11" s="20">
        <x:v>2.5000000000000001E-2</x:v>
      </x:c>
      <x:c r="E11" s="20">
        <x:v>1.7999999999999999E-2</x:v>
      </x:c>
      <x:c r="F11" s="20">
        <x:v>0.04</x:v>
      </x:c>
      <x:c r="G11" s="20">
        <x:v>1.2E-2</x:v>
      </x:c>
      <x:c r="H11" s="20">
        <x:v>8.0000000000000002E-3</x:v>
      </x:c>
      <x:c r="I11" s="20">
        <x:v>0.02</x:v>
      </x:c>
      <x:c r="J11" s="20">
        <x:v>1.4999999999999999E-2</x:v>
      </x:c>
      <x:c r="K11" s="20">
        <x:v>2.5000000000000001E-2</x:v>
      </x:c>
      <x:c r="L11" s="20">
        <x:v>0.03</x:v>
      </x:c>
      <x:c r="M11" s="20">
        <x:v>0.1</x:v>
      </x:c>
      <x:c r="N11" s="20">
        <x:v>0.05</x:v>
      </x:c>
      <x:c r="O11" s="20">
        <x:v>0</x:v>
      </x:c>
      <x:c r="P11" s="20">
        <x:v>0</x:v>
      </x:c>
      <x:c r="Q11" s="20">
        <x:v>0.08</x:v>
      </x:c>
      <x:c r="R11" s="20">
        <x:v>0</x:v>
      </x:c>
      <x:c r="S11" s="20">
        <x:v>0.4</x:v>
      </x:c>
      <x:c r="T11" s="20">
        <x:v>0.03</x:v>
      </x:c>
      <x:c r="U11" s="20">
        <x:v>0.6</x:v>
      </x:c>
      <x:c r="V11" s="20">
        <x:v>0</x:v>
      </x:c>
      <x:c r="W11" s="20">
        <x:v>0</x:v>
      </x:c>
      <x:c r="X11" s="20">
        <x:v>0.12</x:v>
      </x:c>
      <x:c r="Y11" s="20">
        <x:v>0</x:v>
      </x:c>
      <x:c r="Z11" s="20">
        <x:v>0</x:v>
      </x:c>
      <x:c r="AA11" s="20">
        <x:v>0</x:v>
      </x:c>
      <x:c r="AB11" s="20">
        <x:v>0</x:v>
      </x:c>
      <x:c r="AC11" s="20">
        <x:v>0</x:v>
      </x:c>
      <x:c r="AD11" s="20">
        <x:v>0</x:v>
      </x:c>
      <x:c r="AE11" s="20">
        <x:v>0</x:v>
      </x:c>
      <x:c r="AF11" s="20">
        <x:v>0</x:v>
      </x:c>
      <x:c r="AG11" s="20">
        <x:v>0.12</x:v>
      </x:c>
      <x:c r="AH11" s="20">
        <x:v>0</x:v>
      </x:c>
      <x:c r="AI11" s="20">
        <x:v>0</x:v>
      </x:c>
      <x:c r="AJ11" s="20">
        <x:v>0</x:v>
      </x:c>
      <x:c r="AK11" s="20">
        <x:v>0</x:v>
      </x:c>
      <x:c r="AL11" s="20">
        <x:v>0</x:v>
      </x:c>
      <x:c r="AM11" s="20">
        <x:v>0</x:v>
      </x:c>
      <x:c r="AN11" s="20">
        <x:v>0</x:v>
      </x:c>
      <x:c r="AO11" s="20">
        <x:v>0</x:v>
      </x:c>
      <x:c r="AP11" s="20">
        <x:v>0</x:v>
      </x:c>
      <x:c r="AQ11" s="20">
        <x:v>0</x:v>
      </x:c>
      <x:c r="AR11" s="20">
        <x:f t="shared" si="0"/>
        <x:v>1.7330000000000001</x:v>
      </x:c>
      <x:c r="AS11" s="20">
        <x:f t="shared" si="1"/>
        <x:v>3.79</x:v>
      </x:c>
      <x:c r="AT11" s="11" t="s">
        <x:v>265</x:v>
      </x:c>
    </x:row>
    <x:row r="12" ht="15">
      <x:c r="A12" s="21">
        <x:v>10</x:v>
      </x:c>
      <x:c r="B12" s="19" t="s">
        <x:v>239</x:v>
      </x:c>
      <x:c r="C12" s="20">
        <x:v>0.04</x:v>
      </x:c>
      <x:c r="D12" s="20">
        <x:v>2.5000000000000001E-2</x:v>
      </x:c>
      <x:c r="E12" s="20">
        <x:v>1.7999999999999999E-2</x:v>
      </x:c>
      <x:c r="F12" s="20">
        <x:v>0.04</x:v>
      </x:c>
      <x:c r="G12" s="20">
        <x:v>1.2E-2</x:v>
      </x:c>
      <x:c r="H12" s="20">
        <x:v>8.0000000000000002E-3</x:v>
      </x:c>
      <x:c r="I12" s="20">
        <x:v>0.02</x:v>
      </x:c>
      <x:c r="J12" s="20">
        <x:v>1.4999999999999999E-2</x:v>
      </x:c>
      <x:c r="K12" s="20">
        <x:v>2.5000000000000001E-2</x:v>
      </x:c>
      <x:c r="L12" s="20">
        <x:v>0</x:v>
      </x:c>
      <x:c r="M12" s="20">
        <x:v>0</x:v>
      </x:c>
      <x:c r="N12" s="20">
        <x:v>0.08</x:v>
      </x:c>
      <x:c r="O12" s="20">
        <x:v>0.05</x:v>
      </x:c>
      <x:c r="P12" s="20">
        <x:v>0.18</x:v>
      </x:c>
      <x:c r="Q12" s="20">
        <x:v>0.08</x:v>
      </x:c>
      <x:c r="R12" s="20">
        <x:v>0</x:v>
      </x:c>
      <x:c r="S12" s="20">
        <x:v>0</x:v>
      </x:c>
      <x:c r="T12" s="20">
        <x:v>0.03</x:v>
      </x:c>
      <x:c r="U12" s="20">
        <x:v>0</x:v>
      </x:c>
      <x:c r="V12" s="20">
        <x:v>0</x:v>
      </x:c>
      <x:c r="W12" s="20">
        <x:v>0</x:v>
      </x:c>
      <x:c r="X12" s="20">
        <x:v>0</x:v>
      </x:c>
      <x:c r="Y12" s="20">
        <x:v>0</x:v>
      </x:c>
      <x:c r="Z12" s="20">
        <x:v>0</x:v>
      </x:c>
      <x:c r="AA12" s="20">
        <x:v>0.25</x:v>
      </x:c>
      <x:c r="AB12" s="20">
        <x:v>0</x:v>
      </x:c>
      <x:c r="AC12" s="20">
        <x:v>0</x:v>
      </x:c>
      <x:c r="AD12" s="20">
        <x:v>0</x:v>
      </x:c>
      <x:c r="AE12" s="20">
        <x:v>0.1</x:v>
      </x:c>
      <x:c r="AF12" s="20">
        <x:v>0</x:v>
      </x:c>
      <x:c r="AG12" s="20">
        <x:v>0</x:v>
      </x:c>
      <x:c r="AH12" s="20">
        <x:v>0</x:v>
      </x:c>
      <x:c r="AI12" s="20">
        <x:v>0</x:v>
      </x:c>
      <x:c r="AJ12" s="20">
        <x:v>0</x:v>
      </x:c>
      <x:c r="AK12" s="20">
        <x:v>0</x:v>
      </x:c>
      <x:c r="AL12" s="20">
        <x:v>0</x:v>
      </x:c>
      <x:c r="AM12" s="20">
        <x:v>0</x:v>
      </x:c>
      <x:c r="AN12" s="20">
        <x:v>0</x:v>
      </x:c>
      <x:c r="AO12" s="20">
        <x:v>0</x:v>
      </x:c>
      <x:c r="AP12" s="20">
        <x:v>0</x:v>
      </x:c>
      <x:c r="AQ12" s="20">
        <x:v>0</x:v>
      </x:c>
      <x:c r="AR12" s="20">
        <x:f t="shared" si="0"/>
        <x:v>0.97299999999999986</x:v>
      </x:c>
      <x:c r="AS12" s="20">
        <x:f t="shared" si="1"/>
        <x:v>4.7629999999999999</x:v>
      </x:c>
      <x:c r="AT12" s="11" t="s">
        <x:v>266</x:v>
      </x:c>
    </x:row>
    <x:row r="13" ht="15">
      <x:c r="A13" s="21">
        <x:v>11</x:v>
      </x:c>
      <x:c r="B13" s="19" t="s">
        <x:v>241</x:v>
      </x:c>
      <x:c r="C13" s="20">
        <x:v>0.04</x:v>
      </x:c>
      <x:c r="D13" s="20">
        <x:v>2.5000000000000001E-2</x:v>
      </x:c>
      <x:c r="E13" s="20">
        <x:v>1.7999999999999999E-2</x:v>
      </x:c>
      <x:c r="F13" s="20">
        <x:v>0.04</x:v>
      </x:c>
      <x:c r="G13" s="20">
        <x:v>1.2E-2</x:v>
      </x:c>
      <x:c r="H13" s="20">
        <x:v>8.0000000000000002E-3</x:v>
      </x:c>
      <x:c r="I13" s="20">
        <x:v>0.02</x:v>
      </x:c>
      <x:c r="J13" s="20">
        <x:v>1.4999999999999999E-2</x:v>
      </x:c>
      <x:c r="K13" s="20">
        <x:v>2.5000000000000001E-2</x:v>
      </x:c>
      <x:c r="L13" s="20">
        <x:v>0</x:v>
      </x:c>
      <x:c r="M13" s="20">
        <x:v>0</x:v>
      </x:c>
      <x:c r="N13" s="20">
        <x:v>0.08</x:v>
      </x:c>
      <x:c r="O13" s="20">
        <x:v>0.05</x:v>
      </x:c>
      <x:c r="P13" s="20">
        <x:v>0.18</x:v>
      </x:c>
      <x:c r="Q13" s="20">
        <x:v>0.08</x:v>
      </x:c>
      <x:c r="R13" s="20">
        <x:v>0</x:v>
      </x:c>
      <x:c r="S13" s="20">
        <x:v>0</x:v>
      </x:c>
      <x:c r="T13" s="20">
        <x:v>0.03</x:v>
      </x:c>
      <x:c r="U13" s="20">
        <x:v>0</x:v>
      </x:c>
      <x:c r="V13" s="20">
        <x:v>0</x:v>
      </x:c>
      <x:c r="W13" s="20">
        <x:v>0</x:v>
      </x:c>
      <x:c r="X13" s="20">
        <x:v>0</x:v>
      </x:c>
      <x:c r="Y13" s="20">
        <x:v>0</x:v>
      </x:c>
      <x:c r="Z13" s="20">
        <x:v>0</x:v>
      </x:c>
      <x:c r="AA13" s="20">
        <x:v>0</x:v>
      </x:c>
      <x:c r="AB13" s="20">
        <x:v>0.7</x:v>
      </x:c>
      <x:c r="AC13" s="20">
        <x:v>0</x:v>
      </x:c>
      <x:c r="AD13" s="20">
        <x:v>0.05</x:v>
      </x:c>
      <x:c r="AE13" s="20">
        <x:v>0</x:v>
      </x:c>
      <x:c r="AF13" s="20">
        <x:v>0</x:v>
      </x:c>
      <x:c r="AG13" s="20">
        <x:v>0</x:v>
      </x:c>
      <x:c r="AH13" s="20">
        <x:v>0</x:v>
      </x:c>
      <x:c r="AI13" s="20">
        <x:v>0</x:v>
      </x:c>
      <x:c r="AJ13" s="20">
        <x:v>0</x:v>
      </x:c>
      <x:c r="AK13" s="20">
        <x:v>0</x:v>
      </x:c>
      <x:c r="AL13" s="20">
        <x:v>0</x:v>
      </x:c>
      <x:c r="AM13" s="20">
        <x:v>0</x:v>
      </x:c>
      <x:c r="AN13" s="20">
        <x:v>0</x:v>
      </x:c>
      <x:c r="AO13" s="20">
        <x:v>0</x:v>
      </x:c>
      <x:c r="AP13" s="20">
        <x:v>0</x:v>
      </x:c>
      <x:c r="AQ13" s="20">
        <x:v>0</x:v>
      </x:c>
      <x:c r="AR13" s="20">
        <x:f t="shared" si="0"/>
        <x:v>1.373</x:v>
      </x:c>
      <x:c r="AS13" s="20">
        <x:f t="shared" si="1"/>
        <x:v>6.1360000000000001</x:v>
      </x:c>
      <x:c r="AT13" s="11" t="s">
        <x:v>267</x:v>
      </x:c>
    </x:row>
    <x:row r="14" ht="15">
      <x:c r="A14" s="21">
        <x:v>12</x:v>
      </x:c>
      <x:c r="B14" s="19" t="s">
        <x:v>242</x:v>
      </x:c>
      <x:c r="C14" s="20">
        <x:v>0.04</x:v>
      </x:c>
      <x:c r="D14" s="20">
        <x:v>2.5000000000000001E-2</x:v>
      </x:c>
      <x:c r="E14" s="20">
        <x:v>1.7999999999999999E-2</x:v>
      </x:c>
      <x:c r="F14" s="20">
        <x:v>0.04</x:v>
      </x:c>
      <x:c r="G14" s="20">
        <x:v>1.2E-2</x:v>
      </x:c>
      <x:c r="H14" s="20">
        <x:v>8.0000000000000002E-3</x:v>
      </x:c>
      <x:c r="I14" s="20">
        <x:v>0.02</x:v>
      </x:c>
      <x:c r="J14" s="20">
        <x:v>1.4999999999999999E-2</x:v>
      </x:c>
      <x:c r="K14" s="20">
        <x:v>2.5000000000000001E-2</x:v>
      </x:c>
      <x:c r="L14" s="20">
        <x:v>0.03</x:v>
      </x:c>
      <x:c r="M14" s="20">
        <x:v>0</x:v>
      </x:c>
      <x:c r="N14" s="20">
        <x:v>0.08</x:v>
      </x:c>
      <x:c r="O14" s="20">
        <x:v>0</x:v>
      </x:c>
      <x:c r="P14" s="20">
        <x:v>0.18</x:v>
      </x:c>
      <x:c r="Q14" s="20">
        <x:v>0.08</x:v>
      </x:c>
      <x:c r="R14" s="20">
        <x:v>0</x:v>
      </x:c>
      <x:c r="S14" s="20">
        <x:v>0</x:v>
      </x:c>
      <x:c r="T14" s="20">
        <x:v>0.03</x:v>
      </x:c>
      <x:c r="U14" s="20">
        <x:v>0.7</x:v>
      </x:c>
      <x:c r="V14" s="20">
        <x:v>0.08</x:v>
      </x:c>
      <x:c r="W14" s="20">
        <x:v>0</x:v>
      </x:c>
      <x:c r="X14" s="20">
        <x:v>0</x:v>
      </x:c>
      <x:c r="Y14" s="20">
        <x:v>0</x:v>
      </x:c>
      <x:c r="Z14" s="20">
        <x:v>0</x:v>
      </x:c>
      <x:c r="AA14" s="20">
        <x:v>0</x:v>
      </x:c>
      <x:c r="AB14" s="20">
        <x:v>0.6</x:v>
      </x:c>
      <x:c r="AC14" s="20">
        <x:v>0</x:v>
      </x:c>
      <x:c r="AD14" s="20">
        <x:v>0</x:v>
      </x:c>
      <x:c r="AE14" s="20">
        <x:v>0</x:v>
      </x:c>
      <x:c r="AF14" s="20">
        <x:v>0</x:v>
      </x:c>
      <x:c r="AG14" s="20">
        <x:v>0</x:v>
      </x:c>
      <x:c r="AH14" s="20">
        <x:v>0</x:v>
      </x:c>
      <x:c r="AI14" s="20">
        <x:v>0</x:v>
      </x:c>
      <x:c r="AJ14" s="20">
        <x:v>0</x:v>
      </x:c>
      <x:c r="AK14" s="20">
        <x:v>0</x:v>
      </x:c>
      <x:c r="AL14" s="20">
        <x:v>0</x:v>
      </x:c>
      <x:c r="AM14" s="20">
        <x:v>0</x:v>
      </x:c>
      <x:c r="AN14" s="20">
        <x:v>0</x:v>
      </x:c>
      <x:c r="AO14" s="20">
        <x:v>0</x:v>
      </x:c>
      <x:c r="AP14" s="20">
        <x:v>0</x:v>
      </x:c>
      <x:c r="AQ14" s="20">
        <x:v>0</x:v>
      </x:c>
      <x:c r="AR14" s="20">
        <x:f t="shared" si="0"/>
        <x:v>1.9830000000000001</x:v>
      </x:c>
      <x:c r="AS14" s="20">
        <x:f t="shared" si="1"/>
        <x:v>8.1189999999999998</x:v>
      </x:c>
      <x:c r="AT14" s="11" t="s">
        <x:v>268</x:v>
      </x:c>
    </x:row>
    <x:row r="15" ht="15">
      <x:c r="A15" s="21">
        <x:v>13</x:v>
      </x:c>
      <x:c r="B15" s="19" t="s">
        <x:v>243</x:v>
      </x:c>
      <x:c r="C15" s="20">
        <x:v>0.04</x:v>
      </x:c>
      <x:c r="D15" s="20">
        <x:v>2.5000000000000001E-2</x:v>
      </x:c>
      <x:c r="E15" s="20">
        <x:v>1.7999999999999999E-2</x:v>
      </x:c>
      <x:c r="F15" s="20">
        <x:v>0.04</x:v>
      </x:c>
      <x:c r="G15" s="20">
        <x:v>1.2E-2</x:v>
      </x:c>
      <x:c r="H15" s="20">
        <x:v>8.0000000000000002E-3</x:v>
      </x:c>
      <x:c r="I15" s="20">
        <x:v>0.02</x:v>
      </x:c>
      <x:c r="J15" s="20">
        <x:v>1.4999999999999999E-2</x:v>
      </x:c>
      <x:c r="K15" s="20">
        <x:v>2.5000000000000001E-2</x:v>
      </x:c>
      <x:c r="L15" s="20">
        <x:v>0.03</x:v>
      </x:c>
      <x:c r="M15" s="20">
        <x:v>0</x:v>
      </x:c>
      <x:c r="N15" s="20">
        <x:v>0.06</x:v>
      </x:c>
      <x:c r="O15" s="20">
        <x:v>0</x:v>
      </x:c>
      <x:c r="P15" s="20">
        <x:v>0.2</x:v>
      </x:c>
      <x:c r="Q15" s="20">
        <x:v>0.08</x:v>
      </x:c>
      <x:c r="R15" s="20">
        <x:v>0</x:v>
      </x:c>
      <x:c r="S15" s="20">
        <x:v>0</x:v>
      </x:c>
      <x:c r="T15" s="20">
        <x:v>0.03</x:v>
      </x:c>
      <x:c r="U15" s="20">
        <x:v>0.3</x:v>
      </x:c>
      <x:c r="V15" s="20">
        <x:v>0</x:v>
      </x:c>
      <x:c r="W15" s="20">
        <x:v>0.4</x:v>
      </x:c>
      <x:c r="X15" s="20">
        <x:v>0</x:v>
      </x:c>
      <x:c r="Y15" s="20">
        <x:v>0.4</x:v>
      </x:c>
      <x:c r="Z15" s="20">
        <x:v>0</x:v>
      </x:c>
      <x:c r="AA15" s="20">
        <x:v>0</x:v>
      </x:c>
      <x:c r="AB15" s="20">
        <x:v>0</x:v>
      </x:c>
      <x:c r="AC15" s="20">
        <x:v>0</x:v>
      </x:c>
      <x:c r="AD15" s="20">
        <x:v>0</x:v>
      </x:c>
      <x:c r="AE15" s="20">
        <x:v>0</x:v>
      </x:c>
      <x:c r="AF15" s="20">
        <x:v>0</x:v>
      </x:c>
      <x:c r="AG15" s="20">
        <x:v>0</x:v>
      </x:c>
      <x:c r="AH15" s="20">
        <x:v>0</x:v>
      </x:c>
      <x:c r="AI15" s="20">
        <x:v>0</x:v>
      </x:c>
      <x:c r="AJ15" s="20">
        <x:v>0</x:v>
      </x:c>
      <x:c r="AK15" s="20">
        <x:v>0</x:v>
      </x:c>
      <x:c r="AL15" s="20">
        <x:v>0</x:v>
      </x:c>
      <x:c r="AM15" s="20">
        <x:v>0</x:v>
      </x:c>
      <x:c r="AN15" s="20">
        <x:v>0</x:v>
      </x:c>
      <x:c r="AO15" s="20">
        <x:v>0</x:v>
      </x:c>
      <x:c r="AP15" s="20">
        <x:v>0</x:v>
      </x:c>
      <x:c r="AQ15" s="20">
        <x:v>0</x:v>
      </x:c>
      <x:c r="AR15" s="20">
        <x:f t="shared" si="0"/>
        <x:v>1.7029999999999998</x:v>
      </x:c>
      <x:c r="AS15" s="20">
        <x:f t="shared" si="1"/>
        <x:v>9.8219999999999992</x:v>
      </x:c>
      <x:c r="AT15" s="11" t="s">
        <x:v>269</x:v>
      </x:c>
    </x:row>
    <x:row r="16" ht="15">
      <x:c r="A16" s="21">
        <x:v>14</x:v>
      </x:c>
      <x:c r="B16" s="19" t="s">
        <x:v>244</x:v>
      </x:c>
      <x:c r="C16" s="20">
        <x:v>0.04</x:v>
      </x:c>
      <x:c r="D16" s="20">
        <x:v>2.5000000000000001E-2</x:v>
      </x:c>
      <x:c r="E16" s="20">
        <x:v>1.7999999999999999E-2</x:v>
      </x:c>
      <x:c r="F16" s="20">
        <x:v>0.04</x:v>
      </x:c>
      <x:c r="G16" s="20">
        <x:v>1.2E-2</x:v>
      </x:c>
      <x:c r="H16" s="20">
        <x:v>8.0000000000000002E-3</x:v>
      </x:c>
      <x:c r="I16" s="20">
        <x:v>0.02</x:v>
      </x:c>
      <x:c r="J16" s="20">
        <x:v>1.4999999999999999E-2</x:v>
      </x:c>
      <x:c r="K16" s="20">
        <x:v>2.5000000000000001E-2</x:v>
      </x:c>
      <x:c r="L16" s="20">
        <x:v>0</x:v>
      </x:c>
      <x:c r="M16" s="20">
        <x:v>0</x:v>
      </x:c>
      <x:c r="N16" s="20">
        <x:v>0.06</x:v>
      </x:c>
      <x:c r="O16" s="20">
        <x:v>0</x:v>
      </x:c>
      <x:c r="P16" s="20">
        <x:v>0.2</x:v>
      </x:c>
      <x:c r="Q16" s="20">
        <x:v>0.08</x:v>
      </x:c>
      <x:c r="R16" s="20">
        <x:v>0</x:v>
      </x:c>
      <x:c r="S16" s="20">
        <x:v>0</x:v>
      </x:c>
      <x:c r="T16" s="20">
        <x:v>0.03</x:v>
      </x:c>
      <x:c r="U16" s="20">
        <x:v>0</x:v>
      </x:c>
      <x:c r="V16" s="20">
        <x:v>0</x:v>
      </x:c>
      <x:c r="W16" s="20">
        <x:v>0</x:v>
      </x:c>
      <x:c r="X16" s="20">
        <x:v>0</x:v>
      </x:c>
      <x:c r="Y16" s="20">
        <x:v>0</x:v>
      </x:c>
      <x:c r="Z16" s="20">
        <x:v>0</x:v>
      </x:c>
      <x:c r="AA16" s="20">
        <x:v>0</x:v>
      </x:c>
      <x:c r="AB16" s="20">
        <x:v>0</x:v>
      </x:c>
      <x:c r="AC16" s="20">
        <x:v>0</x:v>
      </x:c>
      <x:c r="AD16" s="20">
        <x:v>0</x:v>
      </x:c>
      <x:c r="AE16" s="20">
        <x:v>0</x:v>
      </x:c>
      <x:c r="AF16" s="20">
        <x:v>0</x:v>
      </x:c>
      <x:c r="AG16" s="20">
        <x:v>0</x:v>
      </x:c>
      <x:c r="AH16" s="20">
        <x:v>0</x:v>
      </x:c>
      <x:c r="AI16" s="20">
        <x:v>0</x:v>
      </x:c>
      <x:c r="AJ16" s="20">
        <x:v>0</x:v>
      </x:c>
      <x:c r="AK16" s="20">
        <x:v>0</x:v>
      </x:c>
      <x:c r="AL16" s="20">
        <x:v>0</x:v>
      </x:c>
      <x:c r="AM16" s="20">
        <x:v>0</x:v>
      </x:c>
      <x:c r="AN16" s="20">
        <x:v>0</x:v>
      </x:c>
      <x:c r="AO16" s="20">
        <x:v>0</x:v>
      </x:c>
      <x:c r="AP16" s="20">
        <x:v>0</x:v>
      </x:c>
      <x:c r="AQ16" s="20">
        <x:v>0</x:v>
      </x:c>
      <x:c r="AR16" s="20">
        <x:f t="shared" si="0"/>
        <x:v>0.57300000000000006</x:v>
      </x:c>
      <x:c r="AS16" s="20">
        <x:f t="shared" si="1"/>
        <x:v>10.395</x:v>
      </x:c>
      <x:c r="AT16" s="11" t="s">
        <x:v>270</x:v>
      </x:c>
    </x:row>
    <x:row r="17" ht="15">
      <x:c r="A17" s="21">
        <x:v>15</x:v>
      </x:c>
      <x:c r="B17" s="19" t="s">
        <x:v>245</x:v>
      </x:c>
      <x:c r="C17" s="20">
        <x:v>0.04</x:v>
      </x:c>
      <x:c r="D17" s="20">
        <x:v>2.5000000000000001E-2</x:v>
      </x:c>
      <x:c r="E17" s="20">
        <x:v>1.7999999999999999E-2</x:v>
      </x:c>
      <x:c r="F17" s="20">
        <x:v>0.04</x:v>
      </x:c>
      <x:c r="G17" s="20">
        <x:v>1.2E-2</x:v>
      </x:c>
      <x:c r="H17" s="20">
        <x:v>8.0000000000000002E-3</x:v>
      </x:c>
      <x:c r="I17" s="20">
        <x:v>0.02</x:v>
      </x:c>
      <x:c r="J17" s="20">
        <x:v>1.4999999999999999E-2</x:v>
      </x:c>
      <x:c r="K17" s="20">
        <x:v>2.5000000000000001E-2</x:v>
      </x:c>
      <x:c r="L17" s="20">
        <x:v>0</x:v>
      </x:c>
      <x:c r="M17" s="20">
        <x:v>0</x:v>
      </x:c>
      <x:c r="N17" s="20">
        <x:v>0.06</x:v>
      </x:c>
      <x:c r="O17" s="20">
        <x:v>0</x:v>
      </x:c>
      <x:c r="P17" s="20">
        <x:v>0.2</x:v>
      </x:c>
      <x:c r="Q17" s="20">
        <x:v>0.08</x:v>
      </x:c>
      <x:c r="R17" s="20">
        <x:v>0.1</x:v>
      </x:c>
      <x:c r="S17" s="20">
        <x:v>0</x:v>
      </x:c>
      <x:c r="T17" s="20">
        <x:v>0.03</x:v>
      </x:c>
      <x:c r="U17" s="20">
        <x:v>0</x:v>
      </x:c>
      <x:c r="V17" s="20">
        <x:v>0</x:v>
      </x:c>
      <x:c r="W17" s="20">
        <x:v>0</x:v>
      </x:c>
      <x:c r="X17" s="20">
        <x:v>0.05</x:v>
      </x:c>
      <x:c r="Y17" s="20">
        <x:v>0</x:v>
      </x:c>
      <x:c r="Z17" s="20">
        <x:v>0</x:v>
      </x:c>
      <x:c r="AA17" s="20">
        <x:v>0.2</x:v>
      </x:c>
      <x:c r="AB17" s="20">
        <x:v>0</x:v>
      </x:c>
      <x:c r="AC17" s="20">
        <x:v>0</x:v>
      </x:c>
      <x:c r="AD17" s="20">
        <x:v>0</x:v>
      </x:c>
      <x:c r="AE17" s="20">
        <x:v>0</x:v>
      </x:c>
      <x:c r="AF17" s="20">
        <x:v>0</x:v>
      </x:c>
      <x:c r="AG17" s="20">
        <x:v>0</x:v>
      </x:c>
      <x:c r="AH17" s="20">
        <x:v>0</x:v>
      </x:c>
      <x:c r="AI17" s="20">
        <x:v>0</x:v>
      </x:c>
      <x:c r="AJ17" s="20">
        <x:v>0</x:v>
      </x:c>
      <x:c r="AK17" s="20">
        <x:v>0</x:v>
      </x:c>
      <x:c r="AL17" s="20">
        <x:v>0</x:v>
      </x:c>
      <x:c r="AM17" s="20">
        <x:v>0</x:v>
      </x:c>
      <x:c r="AN17" s="20">
        <x:v>0</x:v>
      </x:c>
      <x:c r="AO17" s="20">
        <x:v>0</x:v>
      </x:c>
      <x:c r="AP17" s="20">
        <x:v>0</x:v>
      </x:c>
      <x:c r="AQ17" s="20">
        <x:v>0</x:v>
      </x:c>
      <x:c r="AR17" s="20">
        <x:f t="shared" si="0"/>
        <x:v>0.92300000000000004</x:v>
      </x:c>
      <x:c r="AS17" s="20">
        <x:f t="shared" si="1"/>
        <x:v>11.318</x:v>
      </x:c>
      <x:c r="AT17" s="11" t="s">
        <x:v>271</x:v>
      </x:c>
    </x:row>
    <x:row r="18" ht="15">
      <x:c r="A18" s="18">
        <x:v>16</x:v>
      </x:c>
      <x:c r="B18" s="19" t="s">
        <x:v>246</x:v>
      </x:c>
      <x:c r="C18" s="20">
        <x:v>0.04</x:v>
      </x:c>
      <x:c r="D18" s="20">
        <x:v>2.5000000000000001E-2</x:v>
      </x:c>
      <x:c r="E18" s="20">
        <x:v>1.7999999999999999E-2</x:v>
      </x:c>
      <x:c r="F18" s="20">
        <x:v>0.04</x:v>
      </x:c>
      <x:c r="G18" s="20">
        <x:v>1.2E-2</x:v>
      </x:c>
      <x:c r="H18" s="20">
        <x:v>8.0000000000000002E-3</x:v>
      </x:c>
      <x:c r="I18" s="20">
        <x:v>0.02</x:v>
      </x:c>
      <x:c r="J18" s="20">
        <x:v>1.4999999999999999E-2</x:v>
      </x:c>
      <x:c r="K18" s="20">
        <x:v>2.5000000000000001E-2</x:v>
      </x:c>
      <x:c r="L18" s="20">
        <x:v>0</x:v>
      </x:c>
      <x:c r="M18" s="20">
        <x:v>0</x:v>
      </x:c>
      <x:c r="N18" s="20">
        <x:v>0.06</x:v>
      </x:c>
      <x:c r="O18" s="20">
        <x:v>0</x:v>
      </x:c>
      <x:c r="P18" s="20">
        <x:v>0.2</x:v>
      </x:c>
      <x:c r="Q18" s="20">
        <x:v>0.08</x:v>
      </x:c>
      <x:c r="R18" s="20">
        <x:v>0.1</x:v>
      </x:c>
      <x:c r="S18" s="20">
        <x:v>0</x:v>
      </x:c>
      <x:c r="T18" s="20">
        <x:v>0.03</x:v>
      </x:c>
      <x:c r="U18" s="20">
        <x:v>0</x:v>
      </x:c>
      <x:c r="V18" s="20">
        <x:v>0</x:v>
      </x:c>
      <x:c r="W18" s="20">
        <x:v>0</x:v>
      </x:c>
      <x:c r="X18" s="20">
        <x:v>0</x:v>
      </x:c>
      <x:c r="Y18" s="20">
        <x:v>0</x:v>
      </x:c>
      <x:c r="Z18" s="20">
        <x:v>0</x:v>
      </x:c>
      <x:c r="AA18" s="20">
        <x:v>0</x:v>
      </x:c>
      <x:c r="AB18" s="20">
        <x:v>0.7</x:v>
      </x:c>
      <x:c r="AC18" s="20">
        <x:v>0</x:v>
      </x:c>
      <x:c r="AD18" s="20">
        <x:v>0</x:v>
      </x:c>
      <x:c r="AE18" s="20">
        <x:v>0</x:v>
      </x:c>
      <x:c r="AF18" s="20">
        <x:v>0</x:v>
      </x:c>
      <x:c r="AG18" s="20">
        <x:v>0</x:v>
      </x:c>
      <x:c r="AH18" s="20">
        <x:v>0</x:v>
      </x:c>
      <x:c r="AI18" s="20">
        <x:v>0</x:v>
      </x:c>
      <x:c r="AJ18" s="20">
        <x:v>0</x:v>
      </x:c>
      <x:c r="AK18" s="20">
        <x:v>0</x:v>
      </x:c>
      <x:c r="AL18" s="20">
        <x:v>0</x:v>
      </x:c>
      <x:c r="AM18" s="20">
        <x:v>0</x:v>
      </x:c>
      <x:c r="AN18" s="20">
        <x:v>0</x:v>
      </x:c>
      <x:c r="AO18" s="20">
        <x:v>0</x:v>
      </x:c>
      <x:c r="AP18" s="20">
        <x:v>0</x:v>
      </x:c>
      <x:c r="AQ18" s="20">
        <x:v>0</x:v>
      </x:c>
      <x:c r="AR18" s="20">
        <x:f t="shared" si="0"/>
        <x:v>1.373</x:v>
      </x:c>
      <x:c r="AS18" s="20">
        <x:f t="shared" si="1"/>
        <x:v>12.690999999999999</x:v>
      </x:c>
      <x:c r="AT18" s="11" t="s">
        <x:v>272</x:v>
      </x:c>
    </x:row>
    <x:row r="19" ht="15">
      <x:c r="A19" s="18">
        <x:v>17</x:v>
      </x:c>
      <x:c r="B19" s="19" t="s">
        <x:v>248</x:v>
      </x:c>
      <x:c r="C19" s="20">
        <x:v>0.04</x:v>
      </x:c>
      <x:c r="D19" s="20">
        <x:v>2.5000000000000001E-2</x:v>
      </x:c>
      <x:c r="E19" s="20">
        <x:v>1.7999999999999999E-2</x:v>
      </x:c>
      <x:c r="F19" s="20">
        <x:v>0.04</x:v>
      </x:c>
      <x:c r="G19" s="20">
        <x:v>1.2E-2</x:v>
      </x:c>
      <x:c r="H19" s="20">
        <x:v>8.0000000000000002E-3</x:v>
      </x:c>
      <x:c r="I19" s="20">
        <x:v>0.02</x:v>
      </x:c>
      <x:c r="J19" s="20">
        <x:v>1.4999999999999999E-2</x:v>
      </x:c>
      <x:c r="K19" s="20">
        <x:v>2.5000000000000001E-2</x:v>
      </x:c>
      <x:c r="L19" s="20">
        <x:v>0</x:v>
      </x:c>
      <x:c r="M19" s="20">
        <x:v>0</x:v>
      </x:c>
      <x:c r="N19" s="20">
        <x:v>0.06</x:v>
      </x:c>
      <x:c r="O19" s="20">
        <x:v>0</x:v>
      </x:c>
      <x:c r="P19" s="20">
        <x:v>0.2</x:v>
      </x:c>
      <x:c r="Q19" s="20">
        <x:v>0.08</x:v>
      </x:c>
      <x:c r="R19" s="20">
        <x:v>0.1</x:v>
      </x:c>
      <x:c r="S19" s="20">
        <x:v>0</x:v>
      </x:c>
      <x:c r="T19" s="20">
        <x:v>0.03</x:v>
      </x:c>
      <x:c r="U19" s="20">
        <x:v>0</x:v>
      </x:c>
      <x:c r="V19" s="20">
        <x:v>0</x:v>
      </x:c>
      <x:c r="W19" s="20">
        <x:v>0</x:v>
      </x:c>
      <x:c r="X19" s="20">
        <x:v>0</x:v>
      </x:c>
      <x:c r="Y19" s="20">
        <x:v>0</x:v>
      </x:c>
      <x:c r="Z19" s="20">
        <x:v>0</x:v>
      </x:c>
      <x:c r="AA19" s="20">
        <x:v>0</x:v>
      </x:c>
      <x:c r="AB19" s="20">
        <x:v>0.6</x:v>
      </x:c>
      <x:c r="AC19" s="20">
        <x:v>0</x:v>
      </x:c>
      <x:c r="AD19" s="20">
        <x:v>0</x:v>
      </x:c>
      <x:c r="AE19" s="20">
        <x:v>0</x:v>
      </x:c>
      <x:c r="AF19" s="20">
        <x:v>0.2</x:v>
      </x:c>
      <x:c r="AG19" s="20">
        <x:v>0</x:v>
      </x:c>
      <x:c r="AH19" s="20">
        <x:v>0</x:v>
      </x:c>
      <x:c r="AI19" s="20">
        <x:v>0</x:v>
      </x:c>
      <x:c r="AJ19" s="20">
        <x:v>0</x:v>
      </x:c>
      <x:c r="AK19" s="20">
        <x:v>0</x:v>
      </x:c>
      <x:c r="AL19" s="20">
        <x:v>0</x:v>
      </x:c>
      <x:c r="AM19" s="20">
        <x:v>0</x:v>
      </x:c>
      <x:c r="AN19" s="20">
        <x:v>0</x:v>
      </x:c>
      <x:c r="AO19" s="20">
        <x:v>0</x:v>
      </x:c>
      <x:c r="AP19" s="20">
        <x:v>0</x:v>
      </x:c>
      <x:c r="AQ19" s="20">
        <x:v>0</x:v>
      </x:c>
      <x:c r="AR19" s="20">
        <x:f t="shared" si="0"/>
        <x:v>1.4730000000000001</x:v>
      </x:c>
      <x:c r="AS19" s="20">
        <x:f t="shared" si="1"/>
        <x:v>14.164</x:v>
      </x:c>
      <x:c r="AT19" s="11" t="s">
        <x:v>273</x:v>
      </x:c>
    </x:row>
    <x:row r="20" ht="15">
      <x:c r="A20" s="18">
        <x:v>18</x:v>
      </x:c>
      <x:c r="B20" s="19" t="s">
        <x:v>250</x:v>
      </x:c>
      <x:c r="C20" s="20">
        <x:v>0.04</x:v>
      </x:c>
      <x:c r="D20" s="20">
        <x:v>2.5000000000000001E-2</x:v>
      </x:c>
      <x:c r="E20" s="20">
        <x:v>1.7999999999999999E-2</x:v>
      </x:c>
      <x:c r="F20" s="20">
        <x:v>0.04</x:v>
      </x:c>
      <x:c r="G20" s="20">
        <x:v>1.2E-2</x:v>
      </x:c>
      <x:c r="H20" s="20">
        <x:v>8.0000000000000002E-3</x:v>
      </x:c>
      <x:c r="I20" s="20">
        <x:v>0.02</x:v>
      </x:c>
      <x:c r="J20" s="20">
        <x:v>1.4999999999999999E-2</x:v>
      </x:c>
      <x:c r="K20" s="20">
        <x:v>2.5000000000000001E-2</x:v>
      </x:c>
      <x:c r="L20" s="20">
        <x:v>0.04</x:v>
      </x:c>
      <x:c r="M20" s="20">
        <x:v>0.14000000000000001</x:v>
      </x:c>
      <x:c r="N20" s="20">
        <x:v>0.1</x:v>
      </x:c>
      <x:c r="O20" s="20">
        <x:v>0.05</x:v>
      </x:c>
      <x:c r="P20" s="20">
        <x:v>0.18</x:v>
      </x:c>
      <x:c r="Q20" s="20">
        <x:v>0.08</x:v>
      </x:c>
      <x:c r="R20" s="20">
        <x:v>0.08</x:v>
      </x:c>
      <x:c r="S20" s="20">
        <x:v>0.4</x:v>
      </x:c>
      <x:c r="T20" s="20">
        <x:v>0.03</x:v>
      </x:c>
      <x:c r="U20" s="20">
        <x:v>1</x:v>
      </x:c>
      <x:c r="V20" s="20">
        <x:v>0.08</x:v>
      </x:c>
      <x:c r="W20" s="20">
        <x:v>0.5</x:v>
      </x:c>
      <x:c r="X20" s="20">
        <x:v>0.05</x:v>
      </x:c>
      <x:c r="Y20" s="20">
        <x:v>0</x:v>
      </x:c>
      <x:c r="Z20" s="20">
        <x:v>0</x:v>
      </x:c>
      <x:c r="AA20" s="20">
        <x:v>0</x:v>
      </x:c>
      <x:c r="AB20" s="20">
        <x:v>0</x:v>
      </x:c>
      <x:c r="AC20" s="20">
        <x:v>0</x:v>
      </x:c>
      <x:c r="AD20" s="20">
        <x:v>0</x:v>
      </x:c>
      <x:c r="AE20" s="20">
        <x:v>0</x:v>
      </x:c>
      <x:c r="AF20" s="20">
        <x:v>0</x:v>
      </x:c>
      <x:c r="AG20" s="20">
        <x:v>0</x:v>
      </x:c>
      <x:c r="AH20" s="20">
        <x:v>0</x:v>
      </x:c>
      <x:c r="AI20" s="20">
        <x:v>0</x:v>
      </x:c>
      <x:c r="AJ20" s="20">
        <x:v>0</x:v>
      </x:c>
      <x:c r="AK20" s="20">
        <x:v>0</x:v>
      </x:c>
      <x:c r="AL20" s="20">
        <x:v>0</x:v>
      </x:c>
      <x:c r="AM20" s="20">
        <x:v>0</x:v>
      </x:c>
      <x:c r="AN20" s="20">
        <x:v>0</x:v>
      </x:c>
      <x:c r="AO20" s="20">
        <x:v>0</x:v>
      </x:c>
      <x:c r="AP20" s="20">
        <x:v>0</x:v>
      </x:c>
      <x:c r="AQ20" s="20">
        <x:v>0</x:v>
      </x:c>
      <x:c r="AR20" s="20">
        <x:f t="shared" si="0"/>
        <x:v>2.9329999999999998</x:v>
      </x:c>
      <x:c r="AS20" s="20">
        <x:f t="shared" si="1"/>
        <x:v>17.097000000000001</x:v>
      </x:c>
      <x:c r="AT20" s="11" t="s">
        <x:v>274</x:v>
      </x:c>
    </x:row>
    <x:row r="21" ht="15">
      <x:c r="A21" s="18">
        <x:v>19</x:v>
      </x:c>
      <x:c r="B21" s="19" t="s">
        <x:v>252</x:v>
      </x:c>
      <x:c r="C21" s="20">
        <x:v>0.04</x:v>
      </x:c>
      <x:c r="D21" s="20">
        <x:v>2.5000000000000001E-2</x:v>
      </x:c>
      <x:c r="E21" s="20">
        <x:v>1.7999999999999999E-2</x:v>
      </x:c>
      <x:c r="F21" s="20">
        <x:v>0.04</x:v>
      </x:c>
      <x:c r="G21" s="20">
        <x:v>1.2E-2</x:v>
      </x:c>
      <x:c r="H21" s="20">
        <x:v>8.0000000000000002E-3</x:v>
      </x:c>
      <x:c r="I21" s="20">
        <x:v>0.02</x:v>
      </x:c>
      <x:c r="J21" s="20">
        <x:v>1.4999999999999999E-2</x:v>
      </x:c>
      <x:c r="K21" s="20">
        <x:v>2.5000000000000001E-2</x:v>
      </x:c>
      <x:c r="L21" s="20">
        <x:v>0.04</x:v>
      </x:c>
      <x:c r="M21" s="20">
        <x:v>0.2</x:v>
      </x:c>
      <x:c r="N21" s="20">
        <x:v>0.1</x:v>
      </x:c>
      <x:c r="O21" s="20">
        <x:v>0.05</x:v>
      </x:c>
      <x:c r="P21" s="20">
        <x:v>0.18</x:v>
      </x:c>
      <x:c r="Q21" s="20">
        <x:v>0.08</x:v>
      </x:c>
      <x:c r="R21" s="20">
        <x:v>0.08</x:v>
      </x:c>
      <x:c r="S21" s="20">
        <x:v>0</x:v>
      </x:c>
      <x:c r="T21" s="20">
        <x:v>0.03</x:v>
      </x:c>
      <x:c r="U21" s="20">
        <x:v>0.8</x:v>
      </x:c>
      <x:c r="V21" s="20">
        <x:v>0.05</x:v>
      </x:c>
      <x:c r="W21" s="20">
        <x:v>0.4</x:v>
      </x:c>
      <x:c r="X21" s="20">
        <x:v>0</x:v>
      </x:c>
      <x:c r="Y21" s="20">
        <x:v>0</x:v>
      </x:c>
      <x:c r="Z21" s="20">
        <x:v>0</x:v>
      </x:c>
      <x:c r="AA21" s="20">
        <x:v>0</x:v>
      </x:c>
      <x:c r="AB21" s="20">
        <x:v>0</x:v>
      </x:c>
      <x:c r="AC21" s="20">
        <x:v>0</x:v>
      </x:c>
      <x:c r="AD21" s="20">
        <x:v>0</x:v>
      </x:c>
      <x:c r="AE21" s="20">
        <x:v>0</x:v>
      </x:c>
      <x:c r="AF21" s="20">
        <x:v>0</x:v>
      </x:c>
      <x:c r="AG21" s="20">
        <x:v>0</x:v>
      </x:c>
      <x:c r="AH21" s="20">
        <x:v>0</x:v>
      </x:c>
      <x:c r="AI21" s="20">
        <x:v>0</x:v>
      </x:c>
      <x:c r="AJ21" s="20">
        <x:v>0</x:v>
      </x:c>
      <x:c r="AK21" s="20">
        <x:v>0</x:v>
      </x:c>
      <x:c r="AL21" s="20">
        <x:v>0</x:v>
      </x:c>
      <x:c r="AM21" s="20">
        <x:v>0</x:v>
      </x:c>
      <x:c r="AN21" s="20">
        <x:v>0</x:v>
      </x:c>
      <x:c r="AO21" s="20">
        <x:v>0</x:v>
      </x:c>
      <x:c r="AP21" s="20">
        <x:v>0</x:v>
      </x:c>
      <x:c r="AQ21" s="20">
        <x:v>0</x:v>
      </x:c>
      <x:c r="AR21" s="20">
        <x:f t="shared" si="0"/>
        <x:v>2.2130000000000001</x:v>
      </x:c>
      <x:c r="AS21" s="20">
        <x:f t="shared" si="1"/>
        <x:v>19.310000000000002</x:v>
      </x:c>
      <x:c r="AT21" s="11" t="s">
        <x:v>275</x:v>
      </x:c>
    </x:row>
    <x:row r="22" ht="15">
      <x:c r="A22" s="18">
        <x:v>20</x:v>
      </x:c>
      <x:c r="B22" s="19" t="s">
        <x:v>254</x:v>
      </x:c>
      <x:c r="C22" s="20">
        <x:v>0.04</x:v>
      </x:c>
      <x:c r="D22" s="20">
        <x:v>2.5000000000000001E-2</x:v>
      </x:c>
      <x:c r="E22" s="20">
        <x:v>1.7999999999999999E-2</x:v>
      </x:c>
      <x:c r="F22" s="20">
        <x:v>0.04</x:v>
      </x:c>
      <x:c r="G22" s="20">
        <x:v>1.2E-2</x:v>
      </x:c>
      <x:c r="H22" s="20">
        <x:v>8.0000000000000002E-3</x:v>
      </x:c>
      <x:c r="I22" s="20">
        <x:v>0.02</x:v>
      </x:c>
      <x:c r="J22" s="20">
        <x:v>1.4999999999999999E-2</x:v>
      </x:c>
      <x:c r="K22" s="20">
        <x:v>2.5000000000000001E-2</x:v>
      </x:c>
      <x:c r="L22" s="20">
        <x:v>0</x:v>
      </x:c>
      <x:c r="M22" s="20">
        <x:v>0.2</x:v>
      </x:c>
      <x:c r="N22" s="20">
        <x:v>0.1</x:v>
      </x:c>
      <x:c r="O22" s="20">
        <x:v>0.05</x:v>
      </x:c>
      <x:c r="P22" s="20">
        <x:v>0.18</x:v>
      </x:c>
      <x:c r="Q22" s="20">
        <x:v>0.08</x:v>
      </x:c>
      <x:c r="R22" s="20">
        <x:v>0.08</x:v>
      </x:c>
      <x:c r="S22" s="20">
        <x:v>0</x:v>
      </x:c>
      <x:c r="T22" s="20">
        <x:v>0.03</x:v>
      </x:c>
      <x:c r="U22" s="20">
        <x:v>0</x:v>
      </x:c>
      <x:c r="V22" s="20">
        <x:v>0</x:v>
      </x:c>
      <x:c r="W22" s="20">
        <x:v>0</x:v>
      </x:c>
      <x:c r="X22" s="20">
        <x:v>0.05</x:v>
      </x:c>
      <x:c r="Y22" s="20">
        <x:v>0.7</x:v>
      </x:c>
      <x:c r="Z22" s="20">
        <x:v>0.03</x:v>
      </x:c>
      <x:c r="AA22" s="20">
        <x:v>0</x:v>
      </x:c>
      <x:c r="AB22" s="20">
        <x:v>0</x:v>
      </x:c>
      <x:c r="AC22" s="20">
        <x:v>0</x:v>
      </x:c>
      <x:c r="AD22" s="20">
        <x:v>0</x:v>
      </x:c>
      <x:c r="AE22" s="20">
        <x:v>0</x:v>
      </x:c>
      <x:c r="AF22" s="20">
        <x:v>0</x:v>
      </x:c>
      <x:c r="AG22" s="20">
        <x:v>0</x:v>
      </x:c>
      <x:c r="AH22" s="20">
        <x:v>0</x:v>
      </x:c>
      <x:c r="AI22" s="20">
        <x:v>0</x:v>
      </x:c>
      <x:c r="AJ22" s="20">
        <x:v>0</x:v>
      </x:c>
      <x:c r="AK22" s="20">
        <x:v>0</x:v>
      </x:c>
      <x:c r="AL22" s="20">
        <x:v>0</x:v>
      </x:c>
      <x:c r="AM22" s="20">
        <x:v>0</x:v>
      </x:c>
      <x:c r="AN22" s="20">
        <x:v>0</x:v>
      </x:c>
      <x:c r="AO22" s="20">
        <x:v>0</x:v>
      </x:c>
      <x:c r="AP22" s="20">
        <x:v>0</x:v>
      </x:c>
      <x:c r="AQ22" s="20">
        <x:v>0</x:v>
      </x:c>
      <x:c r="AR22" s="20">
        <x:f t="shared" si="0"/>
        <x:v>1.7030000000000001</x:v>
      </x:c>
      <x:c r="AS22" s="20">
        <x:f t="shared" si="1"/>
        <x:v>21.013000000000002</x:v>
      </x:c>
      <x:c r="AT22" s="11" t="s">
        <x:v>276</x:v>
      </x:c>
    </x:row>
    <x:row r="23" ht="15">
      <x:c r="A23" s="18">
        <x:v>21</x:v>
      </x:c>
      <x:c r="B23" s="19" t="s">
        <x:v>256</x:v>
      </x:c>
      <x:c r="C23" s="20">
        <x:v>0.04</x:v>
      </x:c>
      <x:c r="D23" s="20">
        <x:v>2.5000000000000001E-2</x:v>
      </x:c>
      <x:c r="E23" s="20">
        <x:v>1.7999999999999999E-2</x:v>
      </x:c>
      <x:c r="F23" s="20">
        <x:v>0.04</x:v>
      </x:c>
      <x:c r="G23" s="20">
        <x:v>1.2E-2</x:v>
      </x:c>
      <x:c r="H23" s="20">
        <x:v>8.0000000000000002E-3</x:v>
      </x:c>
      <x:c r="I23" s="20">
        <x:v>0.02</x:v>
      </x:c>
      <x:c r="J23" s="20">
        <x:v>1.4999999999999999E-2</x:v>
      </x:c>
      <x:c r="K23" s="20">
        <x:v>2.5000000000000001E-2</x:v>
      </x:c>
      <x:c r="L23" s="20">
        <x:v>0</x:v>
      </x:c>
      <x:c r="M23" s="20">
        <x:v>0.2</x:v>
      </x:c>
      <x:c r="N23" s="20">
        <x:v>0.1</x:v>
      </x:c>
      <x:c r="O23" s="20">
        <x:v>0.05</x:v>
      </x:c>
      <x:c r="P23" s="20">
        <x:v>0.18</x:v>
      </x:c>
      <x:c r="Q23" s="20">
        <x:v>0.08</x:v>
      </x:c>
      <x:c r="R23" s="20">
        <x:v>0.08</x:v>
      </x:c>
      <x:c r="S23" s="20">
        <x:v>0</x:v>
      </x:c>
      <x:c r="T23" s="20">
        <x:v>0.03</x:v>
      </x:c>
      <x:c r="U23" s="20">
        <x:v>0</x:v>
      </x:c>
      <x:c r="V23" s="20">
        <x:v>0</x:v>
      </x:c>
      <x:c r="W23" s="20">
        <x:v>0</x:v>
      </x:c>
      <x:c r="X23" s="20">
        <x:v>0</x:v>
      </x:c>
      <x:c r="Y23" s="20">
        <x:v>0.4</x:v>
      </x:c>
      <x:c r="Z23" s="20">
        <x:v>0</x:v>
      </x:c>
      <x:c r="AA23" s="20">
        <x:v>0</x:v>
      </x:c>
      <x:c r="AB23" s="20">
        <x:v>0</x:v>
      </x:c>
      <x:c r="AC23" s="20">
        <x:v>0.5</x:v>
      </x:c>
      <x:c r="AD23" s="20">
        <x:v>0</x:v>
      </x:c>
      <x:c r="AE23" s="20">
        <x:v>0</x:v>
      </x:c>
      <x:c r="AF23" s="20">
        <x:v>0</x:v>
      </x:c>
      <x:c r="AG23" s="20">
        <x:v>0</x:v>
      </x:c>
      <x:c r="AH23" s="20">
        <x:v>0</x:v>
      </x:c>
      <x:c r="AI23" s="20">
        <x:v>0</x:v>
      </x:c>
      <x:c r="AJ23" s="20">
        <x:v>0</x:v>
      </x:c>
      <x:c r="AK23" s="20">
        <x:v>0</x:v>
      </x:c>
      <x:c r="AL23" s="20">
        <x:v>0</x:v>
      </x:c>
      <x:c r="AM23" s="20">
        <x:v>0</x:v>
      </x:c>
      <x:c r="AN23" s="20">
        <x:v>0</x:v>
      </x:c>
      <x:c r="AO23" s="20">
        <x:v>0</x:v>
      </x:c>
      <x:c r="AP23" s="20">
        <x:v>0</x:v>
      </x:c>
      <x:c r="AQ23" s="20">
        <x:v>0</x:v>
      </x:c>
      <x:c r="AR23" s="20">
        <x:f t="shared" si="0"/>
        <x:v>1.823</x:v>
      </x:c>
      <x:c r="AS23" s="20">
        <x:f t="shared" si="1"/>
        <x:v>22.836000000000002</x:v>
      </x:c>
      <x:c r="AT23" s="11" t="s">
        <x:v>277</x:v>
      </x:c>
    </x:row>
    <x:row r="24" ht="15">
      <x:c r="A24" s="18">
        <x:v>22</x:v>
      </x:c>
      <x:c r="B24" s="19" t="s">
        <x:v>258</x:v>
      </x:c>
      <x:c r="C24" s="20">
        <x:v>0.04</x:v>
      </x:c>
      <x:c r="D24" s="20">
        <x:v>2.5000000000000001E-2</x:v>
      </x:c>
      <x:c r="E24" s="20">
        <x:v>1.7999999999999999E-2</x:v>
      </x:c>
      <x:c r="F24" s="20">
        <x:v>0.04</x:v>
      </x:c>
      <x:c r="G24" s="20">
        <x:v>1.2E-2</x:v>
      </x:c>
      <x:c r="H24" s="20">
        <x:v>8.0000000000000002E-3</x:v>
      </x:c>
      <x:c r="I24" s="20">
        <x:v>0.02</x:v>
      </x:c>
      <x:c r="J24" s="20">
        <x:v>1.4999999999999999E-2</x:v>
      </x:c>
      <x:c r="K24" s="20">
        <x:v>2.5000000000000001E-2</x:v>
      </x:c>
      <x:c r="L24" s="20">
        <x:v>0.03</x:v>
      </x:c>
      <x:c r="M24" s="20">
        <x:v>0.12</x:v>
      </x:c>
      <x:c r="N24" s="20">
        <x:v>0.08</x:v>
      </x:c>
      <x:c r="O24" s="20">
        <x:v>0.04</x:v>
      </x:c>
      <x:c r="P24" s="20">
        <x:v>0.18</x:v>
      </x:c>
      <x:c r="Q24" s="20">
        <x:v>0.08</x:v>
      </x:c>
      <x:c r="R24" s="20">
        <x:v>0.08</x:v>
      </x:c>
      <x:c r="S24" s="20">
        <x:v>0</x:v>
      </x:c>
      <x:c r="T24" s="20">
        <x:v>0.03</x:v>
      </x:c>
      <x:c r="U24" s="20">
        <x:v>0</x:v>
      </x:c>
      <x:c r="V24" s="20">
        <x:v>0</x:v>
      </x:c>
      <x:c r="W24" s="20">
        <x:v>0</x:v>
      </x:c>
      <x:c r="X24" s="20">
        <x:v>0</x:v>
      </x:c>
      <x:c r="Y24" s="20">
        <x:v>0</x:v>
      </x:c>
      <x:c r="Z24" s="20">
        <x:v>0</x:v>
      </x:c>
      <x:c r="AA24" s="20">
        <x:v>0</x:v>
      </x:c>
      <x:c r="AB24" s="20">
        <x:v>0</x:v>
      </x:c>
      <x:c r="AC24" s="20">
        <x:v>0</x:v>
      </x:c>
      <x:c r="AD24" s="20">
        <x:v>0</x:v>
      </x:c>
      <x:c r="AE24" s="20">
        <x:v>0</x:v>
      </x:c>
      <x:c r="AF24" s="20">
        <x:v>0</x:v>
      </x:c>
      <x:c r="AG24" s="20">
        <x:v>0.08</x:v>
      </x:c>
      <x:c r="AH24" s="20">
        <x:v>0</x:v>
      </x:c>
      <x:c r="AI24" s="20">
        <x:v>0</x:v>
      </x:c>
      <x:c r="AJ24" s="20">
        <x:v>0</x:v>
      </x:c>
      <x:c r="AK24" s="20">
        <x:v>0</x:v>
      </x:c>
      <x:c r="AL24" s="20">
        <x:v>0</x:v>
      </x:c>
      <x:c r="AM24" s="20">
        <x:v>0</x:v>
      </x:c>
      <x:c r="AN24" s="20">
        <x:v>0</x:v>
      </x:c>
      <x:c r="AO24" s="20">
        <x:v>0</x:v>
      </x:c>
      <x:c r="AP24" s="20">
        <x:v>0</x:v>
      </x:c>
      <x:c r="AQ24" s="20">
        <x:v>0</x:v>
      </x:c>
      <x:c r="AR24" s="20">
        <x:f t="shared" si="0"/>
        <x:v>0.92299999999999993</x:v>
      </x:c>
      <x:c r="AS24" s="20">
        <x:f t="shared" si="1"/>
        <x:v>23.759</x:v>
      </x:c>
      <x:c r="AT24" s="11" t="s">
        <x:v>278</x:v>
      </x:c>
    </x:row>
    <x:row r="25" ht="15">
      <x:c r="A25" s="18">
        <x:v>23</x:v>
      </x:c>
      <x:c r="B25" s="19" t="s">
        <x:v>260</x:v>
      </x:c>
      <x:c r="C25" s="20">
        <x:v>0.04</x:v>
      </x:c>
      <x:c r="D25" s="20">
        <x:v>2.5000000000000001E-2</x:v>
      </x:c>
      <x:c r="E25" s="20">
        <x:v>1.7999999999999999E-2</x:v>
      </x:c>
      <x:c r="F25" s="20">
        <x:v>0.04</x:v>
      </x:c>
      <x:c r="G25" s="20">
        <x:v>1.2E-2</x:v>
      </x:c>
      <x:c r="H25" s="20">
        <x:v>8.0000000000000002E-3</x:v>
      </x:c>
      <x:c r="I25" s="20">
        <x:v>0.02</x:v>
      </x:c>
      <x:c r="J25" s="20">
        <x:v>1.4999999999999999E-2</x:v>
      </x:c>
      <x:c r="K25" s="20">
        <x:v>2.5000000000000001E-2</x:v>
      </x:c>
      <x:c r="L25" s="20">
        <x:v>0</x:v>
      </x:c>
      <x:c r="M25" s="20">
        <x:v>0.06</x:v>
      </x:c>
      <x:c r="N25" s="20">
        <x:v>0</x:v>
      </x:c>
      <x:c r="O25" s="20">
        <x:v>0</x:v>
      </x:c>
      <x:c r="P25" s="20">
        <x:v>0</x:v>
      </x:c>
      <x:c r="Q25" s="20">
        <x:v>0.06</x:v>
      </x:c>
      <x:c r="R25" s="20">
        <x:v>0</x:v>
      </x:c>
      <x:c r="S25" s="20">
        <x:v>0</x:v>
      </x:c>
      <x:c r="T25" s="20">
        <x:v>0</x:v>
      </x:c>
      <x:c r="U25" s="20">
        <x:v>0</x:v>
      </x:c>
      <x:c r="V25" s="20">
        <x:v>0</x:v>
      </x:c>
      <x:c r="W25" s="20">
        <x:v>0</x:v>
      </x:c>
      <x:c r="X25" s="20">
        <x:v>0</x:v>
      </x:c>
      <x:c r="Y25" s="20">
        <x:v>0</x:v>
      </x:c>
      <x:c r="Z25" s="20">
        <x:v>0</x:v>
      </x:c>
      <x:c r="AA25" s="20">
        <x:v>0</x:v>
      </x:c>
      <x:c r="AB25" s="20">
        <x:v>0</x:v>
      </x:c>
      <x:c r="AC25" s="20">
        <x:v>0</x:v>
      </x:c>
      <x:c r="AD25" s="20">
        <x:v>0</x:v>
      </x:c>
      <x:c r="AE25" s="20">
        <x:v>0</x:v>
      </x:c>
      <x:c r="AF25" s="20">
        <x:v>0</x:v>
      </x:c>
      <x:c r="AG25" s="20">
        <x:v>0</x:v>
      </x:c>
      <x:c r="AH25" s="20">
        <x:v>0</x:v>
      </x:c>
      <x:c r="AI25" s="20">
        <x:v>0</x:v>
      </x:c>
      <x:c r="AJ25" s="20">
        <x:v>0</x:v>
      </x:c>
      <x:c r="AK25" s="20">
        <x:v>0</x:v>
      </x:c>
      <x:c r="AL25" s="20">
        <x:v>0</x:v>
      </x:c>
      <x:c r="AM25" s="20">
        <x:v>0</x:v>
      </x:c>
      <x:c r="AN25" s="20">
        <x:v>0</x:v>
      </x:c>
      <x:c r="AO25" s="20">
        <x:v>0</x:v>
      </x:c>
      <x:c r="AP25" s="20">
        <x:v>0</x:v>
      </x:c>
      <x:c r="AQ25" s="20">
        <x:v>0</x:v>
      </x:c>
      <x:c r="AR25" s="20">
        <x:f t="shared" si="0"/>
        <x:v>0.32300000000000001</x:v>
      </x:c>
      <x:c r="AS25" s="20">
        <x:f t="shared" si="1"/>
        <x:v>24.082000000000001</x:v>
      </x:c>
      <x:c r="AT25" s="11" t="s">
        <x:v>279</x:v>
      </x:c>
    </x:row>
    <x:row r="26" ht="15">
      <x:c r="A26" s="24" t="s">
        <x:v>262</x:v>
      </x:c>
      <x:c r="B26" s="25"/>
      <x:c r="C26" s="22" t="n">
        <x:f>SUM(C2:C25)</x:f>
        <x:v>0.9600000000000003</x:v>
      </x:c>
      <x:c r="D26" s="22" t="n">
        <x:f t="shared" ref="D26:AR26" si="2">SUM(D2:D25)</x:f>
        <x:v>0.6000000000000002</x:v>
      </x:c>
      <x:c r="E26" s="22">
        <x:f t="shared" si="2"/>
        <x:v>0.43200000000000011</x:v>
      </x:c>
      <x:c r="F26" s="22">
        <x:f t="shared" si="2"/>
        <x:v>0.84000000000000019</x:v>
      </x:c>
      <x:c r="G26" s="22">
        <x:f t="shared" si="2"/>
        <x:v>0.28800000000000009</x:v>
      </x:c>
      <x:c r="H26" s="22">
        <x:f t="shared" si="2"/>
        <x:v>0.19200000000000012</x:v>
      </x:c>
      <x:c r="I26" s="22">
        <x:f t="shared" si="2"/>
        <x:v>0.48000000000000015</x:v>
      </x:c>
      <x:c r="J26" s="22">
        <x:f t="shared" si="2"/>
        <x:v>0.36000000000000021</x:v>
      </x:c>
      <x:c r="K26" s="22">
        <x:f t="shared" si="2"/>
        <x:v>0.45000000000000012</x:v>
      </x:c>
      <x:c r="L26" s="22">
        <x:f t="shared" si="2"/>
        <x:v>0.23</x:v>
      </x:c>
      <x:c r="M26" s="22">
        <x:f t="shared" si="2"/>
        <x:v>1.1000000000000001</x:v>
      </x:c>
      <x:c r="N26" s="22">
        <x:f t="shared" si="2"/>
        <x:v>1.07</x:v>
      </x:c>
      <x:c r="O26" s="22">
        <x:f t="shared" si="2"/>
        <x:v>0.33999999999999997</x:v>
      </x:c>
      <x:c r="P26" s="22">
        <x:f t="shared" si="2"/>
        <x:v>2.44</x:v>
      </x:c>
      <x:c r="Q26" s="22">
        <x:f t="shared" si="2"/>
        <x:v>1.18</x:v>
      </x:c>
      <x:c r="R26" s="22">
        <x:f t="shared" si="2"/>
        <x:v>0.7</x:v>
      </x:c>
      <x:c r="S26" s="22">
        <x:f t="shared" si="2"/>
        <x:v>0.8</x:v>
      </x:c>
      <x:c r="T26" s="22">
        <x:f t="shared" si="2"/>
        <x:v>0.42000000000000015</x:v>
      </x:c>
      <x:c r="U26" s="22">
        <x:f t="shared" si="2"/>
        <x:v>3.6499999999999995</x:v>
      </x:c>
      <x:c r="V26" s="22">
        <x:f t="shared" si="2"/>
        <x:v>0.25</x:v>
      </x:c>
      <x:c r="W26" s="22">
        <x:f t="shared" si="2"/>
        <x:v>1.3</x:v>
      </x:c>
      <x:c r="X26" s="22">
        <x:f t="shared" si="2"/>
        <x:v>0.37</x:v>
      </x:c>
      <x:c r="Y26" s="22">
        <x:f t="shared" si="2"/>
        <x:v>1.5</x:v>
      </x:c>
      <x:c r="Z26" s="22">
        <x:f t="shared" si="2"/>
        <x:v>0.03</x:v>
      </x:c>
      <x:c r="AA26" s="22">
        <x:f t="shared" si="2"/>
        <x:v>0.45</x:v>
      </x:c>
      <x:c r="AB26" s="22">
        <x:f t="shared" si="2"/>
        <x:v>2.5999999999999996</x:v>
      </x:c>
      <x:c r="AC26" s="22">
        <x:f t="shared" si="2"/>
        <x:v>0.5</x:v>
      </x:c>
      <x:c r="AD26" s="22">
        <x:f t="shared" si="2"/>
        <x:v>0.05</x:v>
      </x:c>
      <x:c r="AE26" s="22">
        <x:f t="shared" si="2"/>
        <x:v>0.1</x:v>
      </x:c>
      <x:c r="AF26" s="22">
        <x:f t="shared" si="2"/>
        <x:v>0.2</x:v>
      </x:c>
      <x:c r="AG26" s="22">
        <x:f t="shared" si="2"/>
        <x:v>0.2</x:v>
      </x:c>
      <x:c r="AH26" s="22">
        <x:f t="shared" si="2"/>
        <x:v>0</x:v>
      </x:c>
      <x:c r="AI26" s="22">
        <x:f t="shared" si="2"/>
        <x:v>0</x:v>
      </x:c>
      <x:c r="AJ26" s="22">
        <x:f t="shared" si="2"/>
        <x:v>0</x:v>
      </x:c>
      <x:c r="AK26" s="22">
        <x:f t="shared" si="2"/>
        <x:v>0</x:v>
      </x:c>
      <x:c r="AL26" s="22">
        <x:f t="shared" si="2"/>
        <x:v>0</x:v>
      </x:c>
      <x:c r="AM26" s="22">
        <x:f t="shared" si="2"/>
        <x:v>0</x:v>
      </x:c>
      <x:c r="AN26" s="22">
        <x:f t="shared" si="2"/>
        <x:v>0</x:v>
      </x:c>
      <x:c r="AO26" s="22">
        <x:f t="shared" si="2"/>
        <x:v>0</x:v>
      </x:c>
      <x:c r="AP26" s="22">
        <x:f t="shared" si="2"/>
        <x:v>0</x:v>
      </x:c>
      <x:c r="AQ26" s="22">
        <x:f t="shared" si="2"/>
        <x:v>0</x:v>
      </x:c>
      <x:c r="AR26" s="22">
        <x:f t="shared" si="2"/>
        <x:v>24.082000000000001</x:v>
      </x:c>
      <x:c r="AS26" s="22"/>
      <x:c r="AT26" s="10"/>
    </x:row>
  </x:sheetData>
  <x:mergeCells>
    <x:mergeCell ref="A26:B26"/>
  </x:mergeCells>
  <x:conditionalFormatting sqref="A12:AS17">
    <x:cfRule type="expression" dxfId="9" priority="1">
      <x:formula>#REF!=1</x:formula>
    </x:cfRule>
    <x:cfRule type="expression" dxfId="8" priority="2">
      <x:formula>#REF!=2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4.25"/>
  <x:cols>
    <x:col min="1" max="1" width="5.25" style="1" customWidth="1"/>
    <x:col min="2" max="2" width="13.25" style="1" customWidth="1"/>
    <x:col min="3" max="3" width="7" style="1" customWidth="1"/>
    <x:col min="4" max="4" width="10.5" style="1" customWidth="1"/>
    <x:col min="5" max="6" width="7" style="1" customWidth="1"/>
    <x:col min="7" max="7" width="11.5" style="1" customWidth="1"/>
    <x:col min="8" max="8" width="15.375" style="1" customWidth="1"/>
    <x:col min="9" max="9" width="17.375" style="1" customWidth="1"/>
    <x:col min="10" max="10" width="6.375" style="1" customWidth="1"/>
    <x:col min="11" max="11" width="10.5" style="1" customWidth="1"/>
    <x:col min="12" max="12" width="15.375" style="1" customWidth="1"/>
    <x:col min="13" max="13" width="8.875" style="1" customWidth="1"/>
    <x:col min="14" max="14" width="6.375" style="1" customWidth="1"/>
    <x:col min="15" max="15" width="17.375" style="1" customWidth="1"/>
    <x:col min="16" max="16" width="15.375" style="1" customWidth="1"/>
    <x:col min="17" max="17" width="24.125" style="1" customWidth="1"/>
    <x:col min="18" max="18" width="8.75" style="1" customWidth="1"/>
    <x:col min="19" max="20" width="13.625" style="1" customWidth="1"/>
    <x:col min="21" max="21" width="17.375" style="1" customWidth="1"/>
    <x:col min="22" max="22" width="10.5" style="1" customWidth="1"/>
    <x:col min="23" max="23" width="17.375" style="1" customWidth="1"/>
    <x:col min="24" max="24" width="19.25" style="1" customWidth="1"/>
    <x:col min="25" max="25" width="10.5" style="1" customWidth="1"/>
    <x:col min="26" max="26" width="12.5" style="1" customWidth="1"/>
    <x:col min="27" max="27" width="7" style="1" customWidth="1"/>
    <x:col min="28" max="30" width="10.5" style="1" customWidth="1"/>
    <x:col min="31" max="31" width="15.375" style="1" customWidth="1"/>
    <x:col min="32" max="32" width="17.375" style="1" customWidth="1"/>
    <x:col min="33" max="33" width="12.5" style="1" customWidth="1"/>
    <x:col min="34" max="35" width="11.625" style="1" customWidth="1"/>
    <x:col min="36" max="36" width="17.375" style="1" customWidth="1"/>
    <x:col min="37" max="37" width="7" style="1" customWidth="1"/>
    <x:col min="38" max="38" width="12.5" style="1" customWidth="1"/>
    <x:col min="39" max="39" width="17.375" style="1" customWidth="1"/>
    <x:col min="40" max="40" width="15.375" style="1" customWidth="1"/>
    <x:col min="41" max="41" width="7" style="1" customWidth="1"/>
    <x:col min="42" max="42" width="14.375" style="1" customWidth="1"/>
    <x:col min="43" max="43" width="10.5" style="1" customWidth="1"/>
    <x:col min="44" max="44" width="18.125" style="1" customWidth="1"/>
    <x:col min="45" max="45" width="16.25" style="1" customWidth="1"/>
    <x:col min="46" max="46" width="27.875" style="1" customWidth="1"/>
    <x:col min="47" max="16384" width="9" style="1" customWidth="0"/>
  </x:cols>
  <x:sheetData>
    <x:row r="1" ht="15">
      <x:c r="A1" s="13" t="s">
        <x:v>220</x:v>
      </x:c>
      <x:c r="B1" s="13" t="s">
        <x:v>221</x:v>
      </x:c>
      <x:c r="C1" s="13" t="s">
        <x:v>46</x:v>
      </x:c>
      <x:c r="D1" s="13" t="s">
        <x:v>52</x:v>
      </x:c>
      <x:c r="E1" s="13" t="s">
        <x:v>55</x:v>
      </x:c>
      <x:c r="F1" s="13" t="s">
        <x:v>59</x:v>
      </x:c>
      <x:c r="G1" s="13" t="s">
        <x:v>64</x:v>
      </x:c>
      <x:c r="H1" s="13" t="s">
        <x:v>68</x:v>
      </x:c>
      <x:c r="I1" s="13" t="s">
        <x:v>72</x:v>
      </x:c>
      <x:c r="J1" s="13" t="s">
        <x:v>76</x:v>
      </x:c>
      <x:c r="K1" s="13" t="s">
        <x:v>81</x:v>
      </x:c>
      <x:c r="L1" s="13" t="s">
        <x:v>86</x:v>
      </x:c>
      <x:c r="M1" s="13" t="s">
        <x:v>91</x:v>
      </x:c>
      <x:c r="N1" s="13" t="s">
        <x:v>96</x:v>
      </x:c>
      <x:c r="O1" s="13" t="s">
        <x:v>100</x:v>
      </x:c>
      <x:c r="P1" s="13" t="s">
        <x:v>105</x:v>
      </x:c>
      <x:c r="Q1" s="13" t="s">
        <x:v>109</x:v>
      </x:c>
      <x:c r="R1" s="13" t="s">
        <x:v>114</x:v>
      </x:c>
      <x:c r="S1" s="13" t="s">
        <x:v>119</x:v>
      </x:c>
      <x:c r="T1" s="13" t="s">
        <x:v>122</x:v>
      </x:c>
      <x:c r="U1" s="13" t="s">
        <x:v>125</x:v>
      </x:c>
      <x:c r="V1" s="13" t="s">
        <x:v>128</x:v>
      </x:c>
      <x:c r="W1" s="13" t="s">
        <x:v>132</x:v>
      </x:c>
      <x:c r="X1" s="13" t="s">
        <x:v>136</x:v>
      </x:c>
      <x:c r="Y1" s="13" t="s">
        <x:v>140</x:v>
      </x:c>
      <x:c r="Z1" s="13" t="s">
        <x:v>143</x:v>
      </x:c>
      <x:c r="AA1" s="13" t="s">
        <x:v>148</x:v>
      </x:c>
      <x:c r="AB1" s="13" t="s">
        <x:v>152</x:v>
      </x:c>
      <x:c r="AC1" s="13" t="s">
        <x:v>156</x:v>
      </x:c>
      <x:c r="AD1" s="13" t="s">
        <x:v>160</x:v>
      </x:c>
      <x:c r="AE1" s="13" t="s">
        <x:v>164</x:v>
      </x:c>
      <x:c r="AF1" s="13" t="s">
        <x:v>168</x:v>
      </x:c>
      <x:c r="AG1" s="13" t="s">
        <x:v>172</x:v>
      </x:c>
      <x:c r="AH1" s="13" t="s">
        <x:v>176</x:v>
      </x:c>
      <x:c r="AI1" s="13" t="s">
        <x:v>181</x:v>
      </x:c>
      <x:c r="AJ1" s="13" t="s">
        <x:v>185</x:v>
      </x:c>
      <x:c r="AK1" s="13" t="s">
        <x:v>190</x:v>
      </x:c>
      <x:c r="AL1" s="13" t="s">
        <x:v>194</x:v>
      </x:c>
      <x:c r="AM1" s="13" t="s">
        <x:v>199</x:v>
      </x:c>
      <x:c r="AN1" s="13" t="s">
        <x:v>202</x:v>
      </x:c>
      <x:c r="AO1" s="13" t="s">
        <x:v>207</x:v>
      </x:c>
      <x:c r="AP1" s="13" t="s">
        <x:v>212</x:v>
      </x:c>
      <x:c r="AQ1" s="13" t="s">
        <x:v>216</x:v>
      </x:c>
      <x:c r="AR1" s="13" t="s">
        <x:v>222</x:v>
      </x:c>
      <x:c r="AS1" s="13" t="s">
        <x:v>223</x:v>
      </x:c>
      <x:c r="AT1" s="13" t="s">
        <x:v>224</x:v>
      </x:c>
    </x:row>
    <x:row r="2" ht="15">
      <x:c r="A2" s="18">
        <x:v>0</x:v>
      </x:c>
      <x:c r="B2" s="19" t="s">
        <x:v>225</x:v>
      </x:c>
      <x:c r="C2" s="20">
        <x:v>4.4999999999999998E-2</x:v>
      </x:c>
      <x:c r="D2" s="20">
        <x:v>2.8000000000000001E-2</x:v>
      </x:c>
      <x:c r="E2" s="20">
        <x:v>0.02</x:v>
      </x:c>
      <x:c r="F2" s="20">
        <x:v>0.02</x:v>
      </x:c>
      <x:c r="G2" s="20">
        <x:v>1.2E-2</x:v>
      </x:c>
      <x:c r="H2" s="20">
        <x:v>8.0000000000000002E-3</x:v>
      </x:c>
      <x:c r="I2" s="20">
        <x:v>0.02</x:v>
      </x:c>
      <x:c r="J2" s="20">
        <x:v>1.4999999999999999E-2</x:v>
      </x:c>
      <x:c r="K2" s="20">
        <x:v>0</x:v>
      </x:c>
      <x:c r="L2" s="20">
        <x:v>0</x:v>
      </x:c>
      <x:c r="M2" s="20">
        <x:v>0</x:v>
      </x:c>
      <x:c r="N2" s="20">
        <x:v>0</x:v>
      </x:c>
      <x:c r="O2" s="20">
        <x:v>0</x:v>
      </x:c>
      <x:c r="P2" s="20">
        <x:v>0</x:v>
      </x:c>
      <x:c r="Q2" s="20">
        <x:v>0</x:v>
      </x:c>
      <x:c r="R2" s="20">
        <x:v>0</x:v>
      </x:c>
      <x:c r="S2" s="20">
        <x:v>0</x:v>
      </x:c>
      <x:c r="T2" s="20">
        <x:v>0</x:v>
      </x:c>
      <x:c r="U2" s="20">
        <x:v>0</x:v>
      </x:c>
      <x:c r="V2" s="20">
        <x:v>0</x:v>
      </x:c>
      <x:c r="W2" s="20">
        <x:v>0</x:v>
      </x:c>
      <x:c r="X2" s="20">
        <x:v>0</x:v>
      </x:c>
      <x:c r="Y2" s="20">
        <x:v>0</x:v>
      </x:c>
      <x:c r="Z2" s="20">
        <x:v>0</x:v>
      </x:c>
      <x:c r="AA2" s="20">
        <x:v>0</x:v>
      </x:c>
      <x:c r="AB2" s="20">
        <x:v>0</x:v>
      </x:c>
      <x:c r="AC2" s="20">
        <x:v>0</x:v>
      </x:c>
      <x:c r="AD2" s="20">
        <x:v>0</x:v>
      </x:c>
      <x:c r="AE2" s="20">
        <x:v>0</x:v>
      </x:c>
      <x:c r="AF2" s="20">
        <x:v>0</x:v>
      </x:c>
      <x:c r="AG2" s="20">
        <x:v>0</x:v>
      </x:c>
      <x:c r="AH2" s="20">
        <x:v>0.3</x:v>
      </x:c>
      <x:c r="AI2" s="20">
        <x:v>0.35</x:v>
      </x:c>
      <x:c r="AJ2" s="20">
        <x:v>0.06</x:v>
      </x:c>
      <x:c r="AK2" s="20">
        <x:v>0</x:v>
      </x:c>
      <x:c r="AL2" s="20">
        <x:v>0</x:v>
      </x:c>
      <x:c r="AM2" s="20">
        <x:v>0</x:v>
      </x:c>
      <x:c r="AN2" s="20">
        <x:v>0</x:v>
      </x:c>
      <x:c r="AO2" s="20">
        <x:v>0</x:v>
      </x:c>
      <x:c r="AP2" s="20">
        <x:v>0</x:v>
      </x:c>
      <x:c r="AQ2" s="20">
        <x:v>0</x:v>
      </x:c>
      <x:c r="AR2" s="20">
        <x:v>0.87799999999999989</x:v>
      </x:c>
      <x:c r="AS2" s="12">
        <x:v>0.87799999999999989</x:v>
      </x:c>
      <x:c r="AT2" s="18" t="s">
        <x:v>280</x:v>
      </x:c>
    </x:row>
    <x:row r="3" ht="15">
      <x:c r="A3" s="18">
        <x:v>1</x:v>
      </x:c>
      <x:c r="B3" s="19" t="s">
        <x:v>227</x:v>
      </x:c>
      <x:c r="C3" s="20">
        <x:v>4.4999999999999998E-2</x:v>
      </x:c>
      <x:c r="D3" s="20">
        <x:v>2.8000000000000001E-2</x:v>
      </x:c>
      <x:c r="E3" s="20">
        <x:v>0.02</x:v>
      </x:c>
      <x:c r="F3" s="20">
        <x:v>0.02</x:v>
      </x:c>
      <x:c r="G3" s="20">
        <x:v>1.2E-2</x:v>
      </x:c>
      <x:c r="H3" s="20">
        <x:v>8.0000000000000002E-3</x:v>
      </x:c>
      <x:c r="I3" s="20">
        <x:v>0.02</x:v>
      </x:c>
      <x:c r="J3" s="20">
        <x:v>1.4999999999999999E-2</x:v>
      </x:c>
      <x:c r="K3" s="20">
        <x:v>0</x:v>
      </x:c>
      <x:c r="L3" s="20">
        <x:v>0</x:v>
      </x:c>
      <x:c r="M3" s="20">
        <x:v>0</x:v>
      </x:c>
      <x:c r="N3" s="20">
        <x:v>0</x:v>
      </x:c>
      <x:c r="O3" s="20">
        <x:v>0</x:v>
      </x:c>
      <x:c r="P3" s="20">
        <x:v>0</x:v>
      </x:c>
      <x:c r="Q3" s="20">
        <x:v>0</x:v>
      </x:c>
      <x:c r="R3" s="20">
        <x:v>0</x:v>
      </x:c>
      <x:c r="S3" s="20">
        <x:v>0</x:v>
      </x:c>
      <x:c r="T3" s="20">
        <x:v>0</x:v>
      </x:c>
      <x:c r="U3" s="20">
        <x:v>0</x:v>
      </x:c>
      <x:c r="V3" s="20">
        <x:v>0</x:v>
      </x:c>
      <x:c r="W3" s="20">
        <x:v>0</x:v>
      </x:c>
      <x:c r="X3" s="20">
        <x:v>0</x:v>
      </x:c>
      <x:c r="Y3" s="20">
        <x:v>0</x:v>
      </x:c>
      <x:c r="Z3" s="20">
        <x:v>0</x:v>
      </x:c>
      <x:c r="AA3" s="20">
        <x:v>0</x:v>
      </x:c>
      <x:c r="AB3" s="20">
        <x:v>0</x:v>
      </x:c>
      <x:c r="AC3" s="20">
        <x:v>0</x:v>
      </x:c>
      <x:c r="AD3" s="20">
        <x:v>0</x:v>
      </x:c>
      <x:c r="AE3" s="20">
        <x:v>0</x:v>
      </x:c>
      <x:c r="AF3" s="20">
        <x:v>0</x:v>
      </x:c>
      <x:c r="AG3" s="20">
        <x:v>0</x:v>
      </x:c>
      <x:c r="AH3" s="20">
        <x:v>0</x:v>
      </x:c>
      <x:c r="AI3" s="20">
        <x:v>0.35</x:v>
      </x:c>
      <x:c r="AJ3" s="20">
        <x:v>0.06</x:v>
      </x:c>
      <x:c r="AK3" s="20">
        <x:v>0</x:v>
      </x:c>
      <x:c r="AL3" s="20">
        <x:v>0</x:v>
      </x:c>
      <x:c r="AM3" s="20">
        <x:v>0</x:v>
      </x:c>
      <x:c r="AN3" s="20">
        <x:v>0</x:v>
      </x:c>
      <x:c r="AO3" s="20">
        <x:v>0</x:v>
      </x:c>
      <x:c r="AP3" s="20">
        <x:v>0</x:v>
      </x:c>
      <x:c r="AQ3" s="20">
        <x:v>0</x:v>
      </x:c>
      <x:c r="AR3" s="20">
        <x:v>0.57800000000000007</x:v>
      </x:c>
      <x:c r="AS3" s="12">
        <x:v>1.456</x:v>
      </x:c>
      <x:c r="AT3" s="18" t="s">
        <x:v>281</x:v>
      </x:c>
    </x:row>
    <x:row r="4" ht="15">
      <x:c r="A4" s="18">
        <x:v>2</x:v>
      </x:c>
      <x:c r="B4" s="19" t="s">
        <x:v>228</x:v>
      </x:c>
      <x:c r="C4" s="20">
        <x:v>4.4999999999999998E-2</x:v>
      </x:c>
      <x:c r="D4" s="20">
        <x:v>2.8000000000000001E-2</x:v>
      </x:c>
      <x:c r="E4" s="20">
        <x:v>0.02</x:v>
      </x:c>
      <x:c r="F4" s="20">
        <x:v>0.02</x:v>
      </x:c>
      <x:c r="G4" s="20">
        <x:v>1.2E-2</x:v>
      </x:c>
      <x:c r="H4" s="20">
        <x:v>8.0000000000000002E-3</x:v>
      </x:c>
      <x:c r="I4" s="20">
        <x:v>0.02</x:v>
      </x:c>
      <x:c r="J4" s="20">
        <x:v>1.4999999999999999E-2</x:v>
      </x:c>
      <x:c r="K4" s="20">
        <x:v>0</x:v>
      </x:c>
      <x:c r="L4" s="20">
        <x:v>0</x:v>
      </x:c>
      <x:c r="M4" s="20">
        <x:v>0</x:v>
      </x:c>
      <x:c r="N4" s="20">
        <x:v>0</x:v>
      </x:c>
      <x:c r="O4" s="20">
        <x:v>0</x:v>
      </x:c>
      <x:c r="P4" s="20">
        <x:v>0</x:v>
      </x:c>
      <x:c r="Q4" s="20">
        <x:v>0</x:v>
      </x:c>
      <x:c r="R4" s="20">
        <x:v>0</x:v>
      </x:c>
      <x:c r="S4" s="20">
        <x:v>0</x:v>
      </x:c>
      <x:c r="T4" s="20">
        <x:v>0</x:v>
      </x:c>
      <x:c r="U4" s="20">
        <x:v>0</x:v>
      </x:c>
      <x:c r="V4" s="20">
        <x:v>0</x:v>
      </x:c>
      <x:c r="W4" s="20">
        <x:v>0</x:v>
      </x:c>
      <x:c r="X4" s="20">
        <x:v>0</x:v>
      </x:c>
      <x:c r="Y4" s="20">
        <x:v>0</x:v>
      </x:c>
      <x:c r="Z4" s="20">
        <x:v>0</x:v>
      </x:c>
      <x:c r="AA4" s="20">
        <x:v>0</x:v>
      </x:c>
      <x:c r="AB4" s="20">
        <x:v>0</x:v>
      </x:c>
      <x:c r="AC4" s="20">
        <x:v>0</x:v>
      </x:c>
      <x:c r="AD4" s="20">
        <x:v>0</x:v>
      </x:c>
      <x:c r="AE4" s="20">
        <x:v>0</x:v>
      </x:c>
      <x:c r="AF4" s="20">
        <x:v>0</x:v>
      </x:c>
      <x:c r="AG4" s="20">
        <x:v>0</x:v>
      </x:c>
      <x:c r="AH4" s="20">
        <x:v>0</x:v>
      </x:c>
      <x:c r="AI4" s="20">
        <x:v>0.35</x:v>
      </x:c>
      <x:c r="AJ4" s="20">
        <x:v>0.06</x:v>
      </x:c>
      <x:c r="AK4" s="20">
        <x:v>0</x:v>
      </x:c>
      <x:c r="AL4" s="20">
        <x:v>0</x:v>
      </x:c>
      <x:c r="AM4" s="20">
        <x:v>0</x:v>
      </x:c>
      <x:c r="AN4" s="20">
        <x:v>0</x:v>
      </x:c>
      <x:c r="AO4" s="20">
        <x:v>0</x:v>
      </x:c>
      <x:c r="AP4" s="20">
        <x:v>0</x:v>
      </x:c>
      <x:c r="AQ4" s="20">
        <x:v>0</x:v>
      </x:c>
      <x:c r="AR4" s="20">
        <x:v>0.57800000000000007</x:v>
      </x:c>
      <x:c r="AS4" s="12">
        <x:v>2.0339999999999998</x:v>
      </x:c>
      <x:c r="AT4" s="18" t="s">
        <x:v>281</x:v>
      </x:c>
    </x:row>
    <x:row r="5" ht="15">
      <x:c r="A5" s="18">
        <x:v>3</x:v>
      </x:c>
      <x:c r="B5" s="19" t="s">
        <x:v>229</x:v>
      </x:c>
      <x:c r="C5" s="20">
        <x:v>4.4999999999999998E-2</x:v>
      </x:c>
      <x:c r="D5" s="20">
        <x:v>2.8000000000000001E-2</x:v>
      </x:c>
      <x:c r="E5" s="20">
        <x:v>0.02</x:v>
      </x:c>
      <x:c r="F5" s="20">
        <x:v>0.02</x:v>
      </x:c>
      <x:c r="G5" s="20">
        <x:v>1.2E-2</x:v>
      </x:c>
      <x:c r="H5" s="20">
        <x:v>8.0000000000000002E-3</x:v>
      </x:c>
      <x:c r="I5" s="20">
        <x:v>0.02</x:v>
      </x:c>
      <x:c r="J5" s="20">
        <x:v>1.4999999999999999E-2</x:v>
      </x:c>
      <x:c r="K5" s="20">
        <x:v>0</x:v>
      </x:c>
      <x:c r="L5" s="20">
        <x:v>0</x:v>
      </x:c>
      <x:c r="M5" s="20">
        <x:v>0</x:v>
      </x:c>
      <x:c r="N5" s="20">
        <x:v>0</x:v>
      </x:c>
      <x:c r="O5" s="20">
        <x:v>0</x:v>
      </x:c>
      <x:c r="P5" s="20">
        <x:v>0</x:v>
      </x:c>
      <x:c r="Q5" s="20">
        <x:v>0</x:v>
      </x:c>
      <x:c r="R5" s="20">
        <x:v>0</x:v>
      </x:c>
      <x:c r="S5" s="20">
        <x:v>0</x:v>
      </x:c>
      <x:c r="T5" s="20">
        <x:v>0</x:v>
      </x:c>
      <x:c r="U5" s="20">
        <x:v>0</x:v>
      </x:c>
      <x:c r="V5" s="20">
        <x:v>0</x:v>
      </x:c>
      <x:c r="W5" s="20">
        <x:v>0</x:v>
      </x:c>
      <x:c r="X5" s="20">
        <x:v>0</x:v>
      </x:c>
      <x:c r="Y5" s="20">
        <x:v>0</x:v>
      </x:c>
      <x:c r="Z5" s="20">
        <x:v>0</x:v>
      </x:c>
      <x:c r="AA5" s="20">
        <x:v>0</x:v>
      </x:c>
      <x:c r="AB5" s="20">
        <x:v>0</x:v>
      </x:c>
      <x:c r="AC5" s="20">
        <x:v>0</x:v>
      </x:c>
      <x:c r="AD5" s="20">
        <x:v>0</x:v>
      </x:c>
      <x:c r="AE5" s="20">
        <x:v>0</x:v>
      </x:c>
      <x:c r="AF5" s="20">
        <x:v>0</x:v>
      </x:c>
      <x:c r="AG5" s="20">
        <x:v>0</x:v>
      </x:c>
      <x:c r="AH5" s="20">
        <x:v>0</x:v>
      </x:c>
      <x:c r="AI5" s="20">
        <x:v>0.35</x:v>
      </x:c>
      <x:c r="AJ5" s="20">
        <x:v>0.06</x:v>
      </x:c>
      <x:c r="AK5" s="20">
        <x:v>0</x:v>
      </x:c>
      <x:c r="AL5" s="20">
        <x:v>0</x:v>
      </x:c>
      <x:c r="AM5" s="20">
        <x:v>0</x:v>
      </x:c>
      <x:c r="AN5" s="20">
        <x:v>0</x:v>
      </x:c>
      <x:c r="AO5" s="20">
        <x:v>0</x:v>
      </x:c>
      <x:c r="AP5" s="20">
        <x:v>0</x:v>
      </x:c>
      <x:c r="AQ5" s="20">
        <x:v>0</x:v>
      </x:c>
      <x:c r="AR5" s="20">
        <x:v>0.57800000000000007</x:v>
      </x:c>
      <x:c r="AS5" s="12">
        <x:v>2.6120000000000001</x:v>
      </x:c>
      <x:c r="AT5" s="18" t="s">
        <x:v>281</x:v>
      </x:c>
    </x:row>
    <x:row r="6" ht="15">
      <x:c r="A6" s="18">
        <x:v>4</x:v>
      </x:c>
      <x:c r="B6" s="19" t="s">
        <x:v>230</x:v>
      </x:c>
      <x:c r="C6" s="20">
        <x:v>4.4999999999999998E-2</x:v>
      </x:c>
      <x:c r="D6" s="20">
        <x:v>2.8000000000000001E-2</x:v>
      </x:c>
      <x:c r="E6" s="20">
        <x:v>0.02</x:v>
      </x:c>
      <x:c r="F6" s="20">
        <x:v>0.02</x:v>
      </x:c>
      <x:c r="G6" s="20">
        <x:v>1.2E-2</x:v>
      </x:c>
      <x:c r="H6" s="20">
        <x:v>8.0000000000000002E-3</x:v>
      </x:c>
      <x:c r="I6" s="20">
        <x:v>0.02</x:v>
      </x:c>
      <x:c r="J6" s="20">
        <x:v>1.4999999999999999E-2</x:v>
      </x:c>
      <x:c r="K6" s="20">
        <x:v>0</x:v>
      </x:c>
      <x:c r="L6" s="20">
        <x:v>0</x:v>
      </x:c>
      <x:c r="M6" s="20">
        <x:v>0</x:v>
      </x:c>
      <x:c r="N6" s="20">
        <x:v>0</x:v>
      </x:c>
      <x:c r="O6" s="20">
        <x:v>0</x:v>
      </x:c>
      <x:c r="P6" s="20">
        <x:v>0</x:v>
      </x:c>
      <x:c r="Q6" s="20">
        <x:v>0</x:v>
      </x:c>
      <x:c r="R6" s="20">
        <x:v>0</x:v>
      </x:c>
      <x:c r="S6" s="20">
        <x:v>0</x:v>
      </x:c>
      <x:c r="T6" s="20">
        <x:v>0</x:v>
      </x:c>
      <x:c r="U6" s="20">
        <x:v>0</x:v>
      </x:c>
      <x:c r="V6" s="20">
        <x:v>0</x:v>
      </x:c>
      <x:c r="W6" s="20">
        <x:v>0</x:v>
      </x:c>
      <x:c r="X6" s="20">
        <x:v>0</x:v>
      </x:c>
      <x:c r="Y6" s="20">
        <x:v>0</x:v>
      </x:c>
      <x:c r="Z6" s="20">
        <x:v>0</x:v>
      </x:c>
      <x:c r="AA6" s="20">
        <x:v>0</x:v>
      </x:c>
      <x:c r="AB6" s="20">
        <x:v>0</x:v>
      </x:c>
      <x:c r="AC6" s="20">
        <x:v>0</x:v>
      </x:c>
      <x:c r="AD6" s="20">
        <x:v>0</x:v>
      </x:c>
      <x:c r="AE6" s="20">
        <x:v>0</x:v>
      </x:c>
      <x:c r="AF6" s="20">
        <x:v>0</x:v>
      </x:c>
      <x:c r="AG6" s="20">
        <x:v>0</x:v>
      </x:c>
      <x:c r="AH6" s="20">
        <x:v>0</x:v>
      </x:c>
      <x:c r="AI6" s="20">
        <x:v>0.35</x:v>
      </x:c>
      <x:c r="AJ6" s="20">
        <x:v>0.06</x:v>
      </x:c>
      <x:c r="AK6" s="20">
        <x:v>0</x:v>
      </x:c>
      <x:c r="AL6" s="20">
        <x:v>0</x:v>
      </x:c>
      <x:c r="AM6" s="20">
        <x:v>0</x:v>
      </x:c>
      <x:c r="AN6" s="20">
        <x:v>0</x:v>
      </x:c>
      <x:c r="AO6" s="20">
        <x:v>0</x:v>
      </x:c>
      <x:c r="AP6" s="20">
        <x:v>0</x:v>
      </x:c>
      <x:c r="AQ6" s="20">
        <x:v>0</x:v>
      </x:c>
      <x:c r="AR6" s="20">
        <x:v>0.57800000000000007</x:v>
      </x:c>
      <x:c r="AS6" s="12">
        <x:v>3.1900000000000004</x:v>
      </x:c>
      <x:c r="AT6" s="18" t="s">
        <x:v>281</x:v>
      </x:c>
    </x:row>
    <x:row r="7" ht="15">
      <x:c r="A7" s="18">
        <x:v>5</x:v>
      </x:c>
      <x:c r="B7" s="19" t="s">
        <x:v>231</x:v>
      </x:c>
      <x:c r="C7" s="20">
        <x:v>4.4999999999999998E-2</x:v>
      </x:c>
      <x:c r="D7" s="20">
        <x:v>2.8000000000000001E-2</x:v>
      </x:c>
      <x:c r="E7" s="20">
        <x:v>0.02</x:v>
      </x:c>
      <x:c r="F7" s="20">
        <x:v>0.02</x:v>
      </x:c>
      <x:c r="G7" s="20">
        <x:v>1.2E-2</x:v>
      </x:c>
      <x:c r="H7" s="20">
        <x:v>8.0000000000000002E-3</x:v>
      </x:c>
      <x:c r="I7" s="20">
        <x:v>0.02</x:v>
      </x:c>
      <x:c r="J7" s="20">
        <x:v>1.4999999999999999E-2</x:v>
      </x:c>
      <x:c r="K7" s="20">
        <x:v>0</x:v>
      </x:c>
      <x:c r="L7" s="20">
        <x:v>0</x:v>
      </x:c>
      <x:c r="M7" s="20">
        <x:v>0</x:v>
      </x:c>
      <x:c r="N7" s="20">
        <x:v>0</x:v>
      </x:c>
      <x:c r="O7" s="20">
        <x:v>0</x:v>
      </x:c>
      <x:c r="P7" s="20">
        <x:v>0</x:v>
      </x:c>
      <x:c r="Q7" s="20">
        <x:v>0</x:v>
      </x:c>
      <x:c r="R7" s="20">
        <x:v>0</x:v>
      </x:c>
      <x:c r="S7" s="20">
        <x:v>0</x:v>
      </x:c>
      <x:c r="T7" s="20">
        <x:v>0</x:v>
      </x:c>
      <x:c r="U7" s="20">
        <x:v>0</x:v>
      </x:c>
      <x:c r="V7" s="20">
        <x:v>0</x:v>
      </x:c>
      <x:c r="W7" s="20">
        <x:v>0</x:v>
      </x:c>
      <x:c r="X7" s="20">
        <x:v>0</x:v>
      </x:c>
      <x:c r="Y7" s="20">
        <x:v>0</x:v>
      </x:c>
      <x:c r="Z7" s="20">
        <x:v>0</x:v>
      </x:c>
      <x:c r="AA7" s="20">
        <x:v>0</x:v>
      </x:c>
      <x:c r="AB7" s="20">
        <x:v>0</x:v>
      </x:c>
      <x:c r="AC7" s="20">
        <x:v>0</x:v>
      </x:c>
      <x:c r="AD7" s="20">
        <x:v>0</x:v>
      </x:c>
      <x:c r="AE7" s="20">
        <x:v>0</x:v>
      </x:c>
      <x:c r="AF7" s="20">
        <x:v>0</x:v>
      </x:c>
      <x:c r="AG7" s="20">
        <x:v>0</x:v>
      </x:c>
      <x:c r="AH7" s="20">
        <x:v>0</x:v>
      </x:c>
      <x:c r="AI7" s="20">
        <x:v>0.35</x:v>
      </x:c>
      <x:c r="AJ7" s="20">
        <x:v>0.06</x:v>
      </x:c>
      <x:c r="AK7" s="20">
        <x:v>0</x:v>
      </x:c>
      <x:c r="AL7" s="20">
        <x:v>0</x:v>
      </x:c>
      <x:c r="AM7" s="20">
        <x:v>0</x:v>
      </x:c>
      <x:c r="AN7" s="20">
        <x:v>0</x:v>
      </x:c>
      <x:c r="AO7" s="20">
        <x:v>0</x:v>
      </x:c>
      <x:c r="AP7" s="20">
        <x:v>0</x:v>
      </x:c>
      <x:c r="AQ7" s="20">
        <x:v>0</x:v>
      </x:c>
      <x:c r="AR7" s="20">
        <x:v>0.57800000000000007</x:v>
      </x:c>
      <x:c r="AS7" s="12">
        <x:v>3.7680000000000007</x:v>
      </x:c>
      <x:c r="AT7" s="18" t="s">
        <x:v>281</x:v>
      </x:c>
    </x:row>
    <x:row r="8" ht="15">
      <x:c r="A8" s="18">
        <x:v>6</x:v>
      </x:c>
      <x:c r="B8" s="19" t="s">
        <x:v>232</x:v>
      </x:c>
      <x:c r="C8" s="20">
        <x:v>4.4999999999999998E-2</x:v>
      </x:c>
      <x:c r="D8" s="20">
        <x:v>2.8000000000000001E-2</x:v>
      </x:c>
      <x:c r="E8" s="20">
        <x:v>0.02</x:v>
      </x:c>
      <x:c r="F8" s="20">
        <x:v>4.4999999999999998E-2</x:v>
      </x:c>
      <x:c r="G8" s="20">
        <x:v>1.2E-2</x:v>
      </x:c>
      <x:c r="H8" s="20">
        <x:v>8.0000000000000002E-3</x:v>
      </x:c>
      <x:c r="I8" s="20">
        <x:v>0.02</x:v>
      </x:c>
      <x:c r="J8" s="20">
        <x:v>1.4999999999999999E-2</x:v>
      </x:c>
      <x:c r="K8" s="20">
        <x:v>0</x:v>
      </x:c>
      <x:c r="L8" s="20">
        <x:v>0.03</x:v>
      </x:c>
      <x:c r="M8" s="20">
        <x:v>0.06</x:v>
      </x:c>
      <x:c r="N8" s="20">
        <x:v>0</x:v>
      </x:c>
      <x:c r="O8" s="20">
        <x:v>0</x:v>
      </x:c>
      <x:c r="P8" s="20">
        <x:v>0</x:v>
      </x:c>
      <x:c r="Q8" s="20">
        <x:v>0</x:v>
      </x:c>
      <x:c r="R8" s="20">
        <x:v>0</x:v>
      </x:c>
      <x:c r="S8" s="20">
        <x:v>0.25</x:v>
      </x:c>
      <x:c r="T8" s="20">
        <x:v>0</x:v>
      </x:c>
      <x:c r="U8" s="20">
        <x:v>0.2</x:v>
      </x:c>
      <x:c r="V8" s="20">
        <x:v>0.04</x:v>
      </x:c>
      <x:c r="W8" s="20">
        <x:v>0</x:v>
      </x:c>
      <x:c r="X8" s="20">
        <x:v>0.12</x:v>
      </x:c>
      <x:c r="Y8" s="20">
        <x:v>0</x:v>
      </x:c>
      <x:c r="Z8" s="20">
        <x:v>0</x:v>
      </x:c>
      <x:c r="AA8" s="20">
        <x:v>0</x:v>
      </x:c>
      <x:c r="AB8" s="20">
        <x:v>0</x:v>
      </x:c>
      <x:c r="AC8" s="20">
        <x:v>0</x:v>
      </x:c>
      <x:c r="AD8" s="20">
        <x:v>0</x:v>
      </x:c>
      <x:c r="AE8" s="20">
        <x:v>0</x:v>
      </x:c>
      <x:c r="AF8" s="20">
        <x:v>0</x:v>
      </x:c>
      <x:c r="AG8" s="20">
        <x:v>0</x:v>
      </x:c>
      <x:c r="AH8" s="20">
        <x:v>0</x:v>
      </x:c>
      <x:c r="AI8" s="20">
        <x:v>0.15</x:v>
      </x:c>
      <x:c r="AJ8" s="20">
        <x:v>0</x:v>
      </x:c>
      <x:c r="AK8" s="20">
        <x:v>0</x:v>
      </x:c>
      <x:c r="AL8" s="20">
        <x:v>0</x:v>
      </x:c>
      <x:c r="AM8" s="20">
        <x:v>0</x:v>
      </x:c>
      <x:c r="AN8" s="20">
        <x:v>0</x:v>
      </x:c>
      <x:c r="AO8" s="20">
        <x:v>0</x:v>
      </x:c>
      <x:c r="AP8" s="20">
        <x:v>0</x:v>
      </x:c>
      <x:c r="AQ8" s="20">
        <x:v>0</x:v>
      </x:c>
      <x:c r="AR8" s="20">
        <x:v>1.0430000000000001</x:v>
      </x:c>
      <x:c r="AS8" s="12">
        <x:v>4.8110000000000008</x:v>
      </x:c>
      <x:c r="AT8" s="18" t="s">
        <x:v>282</x:v>
      </x:c>
    </x:row>
    <x:row r="9" ht="15">
      <x:c r="A9" s="18">
        <x:v>7</x:v>
      </x:c>
      <x:c r="B9" s="19" t="s">
        <x:v>234</x:v>
      </x:c>
      <x:c r="C9" s="20">
        <x:v>4.4999999999999998E-2</x:v>
      </x:c>
      <x:c r="D9" s="20">
        <x:v>2.8000000000000001E-2</x:v>
      </x:c>
      <x:c r="E9" s="20">
        <x:v>0.02</x:v>
      </x:c>
      <x:c r="F9" s="20">
        <x:v>4.4999999999999998E-2</x:v>
      </x:c>
      <x:c r="G9" s="20">
        <x:v>1.2E-2</x:v>
      </x:c>
      <x:c r="H9" s="20">
        <x:v>8.0000000000000002E-3</x:v>
      </x:c>
      <x:c r="I9" s="20">
        <x:v>0.02</x:v>
      </x:c>
      <x:c r="J9" s="20">
        <x:v>1.4999999999999999E-2</x:v>
      </x:c>
      <x:c r="K9" s="20">
        <x:v>0</x:v>
      </x:c>
      <x:c r="L9" s="20">
        <x:v>0.03</x:v>
      </x:c>
      <x:c r="M9" s="20">
        <x:v>0.1</x:v>
      </x:c>
      <x:c r="N9" s="20">
        <x:v>0.04</x:v>
      </x:c>
      <x:c r="O9" s="20">
        <x:v>0</x:v>
      </x:c>
      <x:c r="P9" s="20">
        <x:v>0</x:v>
      </x:c>
      <x:c r="Q9" s="20">
        <x:v>0</x:v>
      </x:c>
      <x:c r="R9" s="20">
        <x:v>0</x:v>
      </x:c>
      <x:c r="S9" s="20">
        <x:v>0</x:v>
      </x:c>
      <x:c r="T9" s="20">
        <x:v>0.03</x:v>
      </x:c>
      <x:c r="U9" s="20">
        <x:v>0.35</x:v>
      </x:c>
      <x:c r="V9" s="20">
        <x:v>0</x:v>
      </x:c>
      <x:c r="W9" s="20">
        <x:v>0</x:v>
      </x:c>
      <x:c r="X9" s="20">
        <x:v>0.05</x:v>
      </x:c>
      <x:c r="Y9" s="20">
        <x:v>0</x:v>
      </x:c>
      <x:c r="Z9" s="20">
        <x:v>0</x:v>
      </x:c>
      <x:c r="AA9" s="20">
        <x:v>0</x:v>
      </x:c>
      <x:c r="AB9" s="20">
        <x:v>0</x:v>
      </x:c>
      <x:c r="AC9" s="20">
        <x:v>0</x:v>
      </x:c>
      <x:c r="AD9" s="20">
        <x:v>0</x:v>
      </x:c>
      <x:c r="AE9" s="20">
        <x:v>0</x:v>
      </x:c>
      <x:c r="AF9" s="20">
        <x:v>0</x:v>
      </x:c>
      <x:c r="AG9" s="20">
        <x:v>0.15</x:v>
      </x:c>
      <x:c r="AH9" s="20">
        <x:v>0</x:v>
      </x:c>
      <x:c r="AI9" s="20">
        <x:v>0</x:v>
      </x:c>
      <x:c r="AJ9" s="20">
        <x:v>0</x:v>
      </x:c>
      <x:c r="AK9" s="20">
        <x:v>0</x:v>
      </x:c>
      <x:c r="AL9" s="20">
        <x:v>0</x:v>
      </x:c>
      <x:c r="AM9" s="20">
        <x:v>0</x:v>
      </x:c>
      <x:c r="AN9" s="20">
        <x:v>0</x:v>
      </x:c>
      <x:c r="AO9" s="20">
        <x:v>0</x:v>
      </x:c>
      <x:c r="AP9" s="20">
        <x:v>0</x:v>
      </x:c>
      <x:c r="AQ9" s="20">
        <x:v>0</x:v>
      </x:c>
      <x:c r="AR9" s="20">
        <x:v>0.94300000000000006</x:v>
      </x:c>
      <x:c r="AS9" s="12">
        <x:v>5.7540000000000013</x:v>
      </x:c>
      <x:c r="AT9" s="18" t="s">
        <x:v>283</x:v>
      </x:c>
    </x:row>
    <x:row r="10" ht="15">
      <x:c r="A10" s="18">
        <x:v>8</x:v>
      </x:c>
      <x:c r="B10" s="19" t="s">
        <x:v>236</x:v>
      </x:c>
      <x:c r="C10" s="20">
        <x:v>4.4999999999999998E-2</x:v>
      </x:c>
      <x:c r="D10" s="20">
        <x:v>2.8000000000000001E-2</x:v>
      </x:c>
      <x:c r="E10" s="20">
        <x:v>0.02</x:v>
      </x:c>
      <x:c r="F10" s="20">
        <x:v>4.4999999999999998E-2</x:v>
      </x:c>
      <x:c r="G10" s="20">
        <x:v>1.2E-2</x:v>
      </x:c>
      <x:c r="H10" s="20">
        <x:v>8.0000000000000002E-3</x:v>
      </x:c>
      <x:c r="I10" s="20">
        <x:v>0.02</x:v>
      </x:c>
      <x:c r="J10" s="20">
        <x:v>1.4999999999999999E-2</x:v>
      </x:c>
      <x:c r="K10" s="20">
        <x:v>0</x:v>
      </x:c>
      <x:c r="L10" s="20">
        <x:v>0</x:v>
      </x:c>
      <x:c r="M10" s="20">
        <x:v>0</x:v>
      </x:c>
      <x:c r="N10" s="20">
        <x:v>0</x:v>
      </x:c>
      <x:c r="O10" s="20">
        <x:v>0</x:v>
      </x:c>
      <x:c r="P10" s="20">
        <x:v>0</x:v>
      </x:c>
      <x:c r="Q10" s="20">
        <x:v>0</x:v>
      </x:c>
      <x:c r="R10" s="20">
        <x:v>0</x:v>
      </x:c>
      <x:c r="S10" s="20">
        <x:v>0</x:v>
      </x:c>
      <x:c r="T10" s="20">
        <x:v>0.03</x:v>
      </x:c>
      <x:c r="U10" s="20">
        <x:v>0</x:v>
      </x:c>
      <x:c r="V10" s="20">
        <x:v>0</x:v>
      </x:c>
      <x:c r="W10" s="20">
        <x:v>0</x:v>
      </x:c>
      <x:c r="X10" s="20">
        <x:v>0</x:v>
      </x:c>
      <x:c r="Y10" s="20">
        <x:v>0</x:v>
      </x:c>
      <x:c r="Z10" s="20">
        <x:v>0</x:v>
      </x:c>
      <x:c r="AA10" s="20">
        <x:v>0</x:v>
      </x:c>
      <x:c r="AB10" s="20">
        <x:v>0</x:v>
      </x:c>
      <x:c r="AC10" s="20">
        <x:v>0</x:v>
      </x:c>
      <x:c r="AD10" s="20">
        <x:v>0</x:v>
      </x:c>
      <x:c r="AE10" s="20">
        <x:v>0</x:v>
      </x:c>
      <x:c r="AF10" s="20">
        <x:v>0</x:v>
      </x:c>
      <x:c r="AG10" s="20">
        <x:v>0</x:v>
      </x:c>
      <x:c r="AH10" s="20">
        <x:v>0</x:v>
      </x:c>
      <x:c r="AI10" s="20">
        <x:v>0</x:v>
      </x:c>
      <x:c r="AJ10" s="20">
        <x:v>0</x:v>
      </x:c>
      <x:c r="AK10" s="20">
        <x:v>0</x:v>
      </x:c>
      <x:c r="AL10" s="20">
        <x:v>0</x:v>
      </x:c>
      <x:c r="AM10" s="20">
        <x:v>0</x:v>
      </x:c>
      <x:c r="AN10" s="20">
        <x:v>0</x:v>
      </x:c>
      <x:c r="AO10" s="20">
        <x:v>0</x:v>
      </x:c>
      <x:c r="AP10" s="20">
        <x:v>0</x:v>
      </x:c>
      <x:c r="AQ10" s="20">
        <x:v>0</x:v>
      </x:c>
      <x:c r="AR10" s="20">
        <x:v>0.223</x:v>
      </x:c>
      <x:c r="AS10" s="12">
        <x:v>5.9770000000000012</x:v>
      </x:c>
      <x:c r="AT10" s="18" t="s">
        <x:v>284</x:v>
      </x:c>
    </x:row>
    <x:row r="11" ht="15">
      <x:c r="A11" s="18">
        <x:v>9</x:v>
      </x:c>
      <x:c r="B11" s="19" t="s">
        <x:v>238</x:v>
      </x:c>
      <x:c r="C11" s="20">
        <x:v>4.4999999999999998E-2</x:v>
      </x:c>
      <x:c r="D11" s="20">
        <x:v>2.8000000000000001E-2</x:v>
      </x:c>
      <x:c r="E11" s="20">
        <x:v>0.02</x:v>
      </x:c>
      <x:c r="F11" s="20">
        <x:v>4.4999999999999998E-2</x:v>
      </x:c>
      <x:c r="G11" s="20">
        <x:v>1.2E-2</x:v>
      </x:c>
      <x:c r="H11" s="20">
        <x:v>8.0000000000000002E-3</x:v>
      </x:c>
      <x:c r="I11" s="20">
        <x:v>0.02</x:v>
      </x:c>
      <x:c r="J11" s="20">
        <x:v>1.4999999999999999E-2</x:v>
      </x:c>
      <x:c r="K11" s="20">
        <x:v>0</x:v>
      </x:c>
      <x:c r="L11" s="20">
        <x:v>0</x:v>
      </x:c>
      <x:c r="M11" s="20">
        <x:v>0</x:v>
      </x:c>
      <x:c r="N11" s="20">
        <x:v>0</x:v>
      </x:c>
      <x:c r="O11" s="20">
        <x:v>0</x:v>
      </x:c>
      <x:c r="P11" s="20">
        <x:v>0</x:v>
      </x:c>
      <x:c r="Q11" s="20">
        <x:v>0</x:v>
      </x:c>
      <x:c r="R11" s="20">
        <x:v>0</x:v>
      </x:c>
      <x:c r="S11" s="20">
        <x:v>0</x:v>
      </x:c>
      <x:c r="T11" s="20">
        <x:v>0.03</x:v>
      </x:c>
      <x:c r="U11" s="20">
        <x:v>0</x:v>
      </x:c>
      <x:c r="V11" s="20">
        <x:v>0</x:v>
      </x:c>
      <x:c r="W11" s="20">
        <x:v>0</x:v>
      </x:c>
      <x:c r="X11" s="20">
        <x:v>0</x:v>
      </x:c>
      <x:c r="Y11" s="20">
        <x:v>0</x:v>
      </x:c>
      <x:c r="Z11" s="20">
        <x:v>0</x:v>
      </x:c>
      <x:c r="AA11" s="20">
        <x:v>0</x:v>
      </x:c>
      <x:c r="AB11" s="20">
        <x:v>0</x:v>
      </x:c>
      <x:c r="AC11" s="20">
        <x:v>0</x:v>
      </x:c>
      <x:c r="AD11" s="20">
        <x:v>0</x:v>
      </x:c>
      <x:c r="AE11" s="20">
        <x:v>0</x:v>
      </x:c>
      <x:c r="AF11" s="20">
        <x:v>0</x:v>
      </x:c>
      <x:c r="AG11" s="20">
        <x:v>0</x:v>
      </x:c>
      <x:c r="AH11" s="20">
        <x:v>0</x:v>
      </x:c>
      <x:c r="AI11" s="20">
        <x:v>0</x:v>
      </x:c>
      <x:c r="AJ11" s="20">
        <x:v>0</x:v>
      </x:c>
      <x:c r="AK11" s="20">
        <x:v>0</x:v>
      </x:c>
      <x:c r="AL11" s="20">
        <x:v>0</x:v>
      </x:c>
      <x:c r="AM11" s="20">
        <x:v>0</x:v>
      </x:c>
      <x:c r="AN11" s="20">
        <x:v>0</x:v>
      </x:c>
      <x:c r="AO11" s="20">
        <x:v>0</x:v>
      </x:c>
      <x:c r="AP11" s="20">
        <x:v>0</x:v>
      </x:c>
      <x:c r="AQ11" s="20">
        <x:v>0</x:v>
      </x:c>
      <x:c r="AR11" s="20">
        <x:v>0.223</x:v>
      </x:c>
      <x:c r="AS11" s="12">
        <x:v>6.2000000000000011</x:v>
      </x:c>
      <x:c r="AT11" s="18" t="s">
        <x:v>284</x:v>
      </x:c>
    </x:row>
    <x:row r="12" ht="15">
      <x:c r="A12" s="21">
        <x:v>10</x:v>
      </x:c>
      <x:c r="B12" s="19" t="s">
        <x:v>239</x:v>
      </x:c>
      <x:c r="C12" s="20">
        <x:v>4.4999999999999998E-2</x:v>
      </x:c>
      <x:c r="D12" s="20">
        <x:v>2.8000000000000001E-2</x:v>
      </x:c>
      <x:c r="E12" s="20">
        <x:v>0.02</x:v>
      </x:c>
      <x:c r="F12" s="20">
        <x:v>4.4999999999999998E-2</x:v>
      </x:c>
      <x:c r="G12" s="20">
        <x:v>1.2E-2</x:v>
      </x:c>
      <x:c r="H12" s="20">
        <x:v>8.0000000000000002E-3</x:v>
      </x:c>
      <x:c r="I12" s="20">
        <x:v>0.02</x:v>
      </x:c>
      <x:c r="J12" s="20">
        <x:v>1.4999999999999999E-2</x:v>
      </x:c>
      <x:c r="K12" s="20">
        <x:v>0</x:v>
      </x:c>
      <x:c r="L12" s="20">
        <x:v>0</x:v>
      </x:c>
      <x:c r="M12" s="20">
        <x:v>0</x:v>
      </x:c>
      <x:c r="N12" s="20">
        <x:v>0</x:v>
      </x:c>
      <x:c r="O12" s="20">
        <x:v>0</x:v>
      </x:c>
      <x:c r="P12" s="20">
        <x:v>0</x:v>
      </x:c>
      <x:c r="Q12" s="20">
        <x:v>0</x:v>
      </x:c>
      <x:c r="R12" s="20">
        <x:v>0</x:v>
      </x:c>
      <x:c r="S12" s="20">
        <x:v>0</x:v>
      </x:c>
      <x:c r="T12" s="20">
        <x:v>0.03</x:v>
      </x:c>
      <x:c r="U12" s="20">
        <x:v>0</x:v>
      </x:c>
      <x:c r="V12" s="20">
        <x:v>0</x:v>
      </x:c>
      <x:c r="W12" s="20">
        <x:v>0</x:v>
      </x:c>
      <x:c r="X12" s="20">
        <x:v>0</x:v>
      </x:c>
      <x:c r="Y12" s="20">
        <x:v>0</x:v>
      </x:c>
      <x:c r="Z12" s="20">
        <x:v>0</x:v>
      </x:c>
      <x:c r="AA12" s="20">
        <x:v>0</x:v>
      </x:c>
      <x:c r="AB12" s="20">
        <x:v>0</x:v>
      </x:c>
      <x:c r="AC12" s="20">
        <x:v>0</x:v>
      </x:c>
      <x:c r="AD12" s="20">
        <x:v>0.05</x:v>
      </x:c>
      <x:c r="AE12" s="20">
        <x:v>0</x:v>
      </x:c>
      <x:c r="AF12" s="20">
        <x:v>0</x:v>
      </x:c>
      <x:c r="AG12" s="20">
        <x:v>0</x:v>
      </x:c>
      <x:c r="AH12" s="20">
        <x:v>0</x:v>
      </x:c>
      <x:c r="AI12" s="20">
        <x:v>0</x:v>
      </x:c>
      <x:c r="AJ12" s="20">
        <x:v>0</x:v>
      </x:c>
      <x:c r="AK12" s="20">
        <x:v>0.12</x:v>
      </x:c>
      <x:c r="AL12" s="20">
        <x:v>0</x:v>
      </x:c>
      <x:c r="AM12" s="20">
        <x:v>0</x:v>
      </x:c>
      <x:c r="AN12" s="20">
        <x:v>0</x:v>
      </x:c>
      <x:c r="AO12" s="20">
        <x:v>0</x:v>
      </x:c>
      <x:c r="AP12" s="20">
        <x:v>0</x:v>
      </x:c>
      <x:c r="AQ12" s="20">
        <x:v>0</x:v>
      </x:c>
      <x:c r="AR12" s="20">
        <x:v>0.39300000000000002</x:v>
      </x:c>
      <x:c r="AS12" s="12">
        <x:v>6.5930000000000009</x:v>
      </x:c>
      <x:c r="AT12" s="21" t="s">
        <x:v>285</x:v>
      </x:c>
    </x:row>
    <x:row r="13" ht="15">
      <x:c r="A13" s="21">
        <x:v>11</x:v>
      </x:c>
      <x:c r="B13" s="19" t="s">
        <x:v>241</x:v>
      </x:c>
      <x:c r="C13" s="20">
        <x:v>4.4999999999999998E-2</x:v>
      </x:c>
      <x:c r="D13" s="20">
        <x:v>2.8000000000000001E-2</x:v>
      </x:c>
      <x:c r="E13" s="20">
        <x:v>0.02</x:v>
      </x:c>
      <x:c r="F13" s="20">
        <x:v>4.4999999999999998E-2</x:v>
      </x:c>
      <x:c r="G13" s="20">
        <x:v>1.2E-2</x:v>
      </x:c>
      <x:c r="H13" s="20">
        <x:v>8.0000000000000002E-3</x:v>
      </x:c>
      <x:c r="I13" s="20">
        <x:v>0.02</x:v>
      </x:c>
      <x:c r="J13" s="20">
        <x:v>1.4999999999999999E-2</x:v>
      </x:c>
      <x:c r="K13" s="20">
        <x:v>0</x:v>
      </x:c>
      <x:c r="L13" s="20">
        <x:v>0</x:v>
      </x:c>
      <x:c r="M13" s="20">
        <x:v>0</x:v>
      </x:c>
      <x:c r="N13" s="20">
        <x:v>0</x:v>
      </x:c>
      <x:c r="O13" s="20">
        <x:v>0</x:v>
      </x:c>
      <x:c r="P13" s="20">
        <x:v>0</x:v>
      </x:c>
      <x:c r="Q13" s="20">
        <x:v>0</x:v>
      </x:c>
      <x:c r="R13" s="20">
        <x:v>0</x:v>
      </x:c>
      <x:c r="S13" s="20">
        <x:v>0</x:v>
      </x:c>
      <x:c r="T13" s="20">
        <x:v>0.03</x:v>
      </x:c>
      <x:c r="U13" s="20">
        <x:v>0</x:v>
      </x:c>
      <x:c r="V13" s="20">
        <x:v>0</x:v>
      </x:c>
      <x:c r="W13" s="20">
        <x:v>0</x:v>
      </x:c>
      <x:c r="X13" s="20">
        <x:v>0</x:v>
      </x:c>
      <x:c r="Y13" s="20">
        <x:v>0</x:v>
      </x:c>
      <x:c r="Z13" s="20">
        <x:v>0</x:v>
      </x:c>
      <x:c r="AA13" s="20">
        <x:v>0</x:v>
      </x:c>
      <x:c r="AB13" s="20">
        <x:v>0</x:v>
      </x:c>
      <x:c r="AC13" s="20">
        <x:v>0</x:v>
      </x:c>
      <x:c r="AD13" s="20">
        <x:v>0</x:v>
      </x:c>
      <x:c r="AE13" s="20">
        <x:v>0</x:v>
      </x:c>
      <x:c r="AF13" s="20">
        <x:v>0</x:v>
      </x:c>
      <x:c r="AG13" s="20">
        <x:v>0</x:v>
      </x:c>
      <x:c r="AH13" s="20">
        <x:v>0</x:v>
      </x:c>
      <x:c r="AI13" s="20">
        <x:v>0</x:v>
      </x:c>
      <x:c r="AJ13" s="20">
        <x:v>0</x:v>
      </x:c>
      <x:c r="AK13" s="20">
        <x:v>0.12</x:v>
      </x:c>
      <x:c r="AL13" s="20">
        <x:v>0</x:v>
      </x:c>
      <x:c r="AM13" s="20">
        <x:v>0</x:v>
      </x:c>
      <x:c r="AN13" s="20">
        <x:v>0</x:v>
      </x:c>
      <x:c r="AO13" s="20">
        <x:v>0</x:v>
      </x:c>
      <x:c r="AP13" s="20">
        <x:v>0</x:v>
      </x:c>
      <x:c r="AQ13" s="20">
        <x:v>0</x:v>
      </x:c>
      <x:c r="AR13" s="20">
        <x:v>0.34299999999999997</x:v>
      </x:c>
      <x:c r="AS13" s="12">
        <x:v>6.9360000000000008</x:v>
      </x:c>
      <x:c r="AT13" s="21" t="s">
        <x:v>286</x:v>
      </x:c>
    </x:row>
    <x:row r="14" ht="15">
      <x:c r="A14" s="21">
        <x:v>12</x:v>
      </x:c>
      <x:c r="B14" s="19" t="s">
        <x:v>242</x:v>
      </x:c>
      <x:c r="C14" s="20">
        <x:v>4.4999999999999998E-2</x:v>
      </x:c>
      <x:c r="D14" s="20">
        <x:v>2.8000000000000001E-2</x:v>
      </x:c>
      <x:c r="E14" s="20">
        <x:v>0.02</x:v>
      </x:c>
      <x:c r="F14" s="20">
        <x:v>4.4999999999999998E-2</x:v>
      </x:c>
      <x:c r="G14" s="20">
        <x:v>1.2E-2</x:v>
      </x:c>
      <x:c r="H14" s="20">
        <x:v>8.0000000000000002E-3</x:v>
      </x:c>
      <x:c r="I14" s="20">
        <x:v>0.02</x:v>
      </x:c>
      <x:c r="J14" s="20">
        <x:v>1.4999999999999999E-2</x:v>
      </x:c>
      <x:c r="K14" s="20">
        <x:v>0</x:v>
      </x:c>
      <x:c r="L14" s="20">
        <x:v>0</x:v>
      </x:c>
      <x:c r="M14" s="20">
        <x:v>0</x:v>
      </x:c>
      <x:c r="N14" s="20">
        <x:v>0</x:v>
      </x:c>
      <x:c r="O14" s="20">
        <x:v>0</x:v>
      </x:c>
      <x:c r="P14" s="20">
        <x:v>0</x:v>
      </x:c>
      <x:c r="Q14" s="20">
        <x:v>0</x:v>
      </x:c>
      <x:c r="R14" s="20">
        <x:v>0</x:v>
      </x:c>
      <x:c r="S14" s="20">
        <x:v>0</x:v>
      </x:c>
      <x:c r="T14" s="20">
        <x:v>0.03</x:v>
      </x:c>
      <x:c r="U14" s="20">
        <x:v>0</x:v>
      </x:c>
      <x:c r="V14" s="20">
        <x:v>0</x:v>
      </x:c>
      <x:c r="W14" s="20">
        <x:v>0</x:v>
      </x:c>
      <x:c r="X14" s="20">
        <x:v>0</x:v>
      </x:c>
      <x:c r="Y14" s="20">
        <x:v>0</x:v>
      </x:c>
      <x:c r="Z14" s="20">
        <x:v>0</x:v>
      </x:c>
      <x:c r="AA14" s="20">
        <x:v>0</x:v>
      </x:c>
      <x:c r="AB14" s="20">
        <x:v>0</x:v>
      </x:c>
      <x:c r="AC14" s="20">
        <x:v>0</x:v>
      </x:c>
      <x:c r="AD14" s="20">
        <x:v>0</x:v>
      </x:c>
      <x:c r="AE14" s="20">
        <x:v>0</x:v>
      </x:c>
      <x:c r="AF14" s="20">
        <x:v>0</x:v>
      </x:c>
      <x:c r="AG14" s="20">
        <x:v>0</x:v>
      </x:c>
      <x:c r="AH14" s="20">
        <x:v>0</x:v>
      </x:c>
      <x:c r="AI14" s="20">
        <x:v>0</x:v>
      </x:c>
      <x:c r="AJ14" s="20">
        <x:v>0</x:v>
      </x:c>
      <x:c r="AK14" s="20">
        <x:v>0.12</x:v>
      </x:c>
      <x:c r="AL14" s="20">
        <x:v>0</x:v>
      </x:c>
      <x:c r="AM14" s="20">
        <x:v>0</x:v>
      </x:c>
      <x:c r="AN14" s="20">
        <x:v>0</x:v>
      </x:c>
      <x:c r="AO14" s="20">
        <x:v>0</x:v>
      </x:c>
      <x:c r="AP14" s="20">
        <x:v>0</x:v>
      </x:c>
      <x:c r="AQ14" s="20">
        <x:v>0</x:v>
      </x:c>
      <x:c r="AR14" s="20">
        <x:v>0.34299999999999997</x:v>
      </x:c>
      <x:c r="AS14" s="12">
        <x:v>7.2790000000000008</x:v>
      </x:c>
      <x:c r="AT14" s="21" t="s">
        <x:v>286</x:v>
      </x:c>
    </x:row>
    <x:row r="15" ht="15">
      <x:c r="A15" s="21">
        <x:v>13</x:v>
      </x:c>
      <x:c r="B15" s="19" t="s">
        <x:v>243</x:v>
      </x:c>
      <x:c r="C15" s="20">
        <x:v>4.4999999999999998E-2</x:v>
      </x:c>
      <x:c r="D15" s="20">
        <x:v>2.8000000000000001E-2</x:v>
      </x:c>
      <x:c r="E15" s="20">
        <x:v>0.02</x:v>
      </x:c>
      <x:c r="F15" s="20">
        <x:v>4.4999999999999998E-2</x:v>
      </x:c>
      <x:c r="G15" s="20">
        <x:v>1.2E-2</x:v>
      </x:c>
      <x:c r="H15" s="20">
        <x:v>8.0000000000000002E-3</x:v>
      </x:c>
      <x:c r="I15" s="20">
        <x:v>0.02</x:v>
      </x:c>
      <x:c r="J15" s="20">
        <x:v>1.4999999999999999E-2</x:v>
      </x:c>
      <x:c r="K15" s="20">
        <x:v>0</x:v>
      </x:c>
      <x:c r="L15" s="20">
        <x:v>0</x:v>
      </x:c>
      <x:c r="M15" s="20">
        <x:v>0</x:v>
      </x:c>
      <x:c r="N15" s="20">
        <x:v>0</x:v>
      </x:c>
      <x:c r="O15" s="20">
        <x:v>0</x:v>
      </x:c>
      <x:c r="P15" s="20">
        <x:v>0</x:v>
      </x:c>
      <x:c r="Q15" s="20">
        <x:v>0</x:v>
      </x:c>
      <x:c r="R15" s="20">
        <x:v>0</x:v>
      </x:c>
      <x:c r="S15" s="20">
        <x:v>0</x:v>
      </x:c>
      <x:c r="T15" s="20">
        <x:v>0.03</x:v>
      </x:c>
      <x:c r="U15" s="20">
        <x:v>0</x:v>
      </x:c>
      <x:c r="V15" s="20">
        <x:v>0</x:v>
      </x:c>
      <x:c r="W15" s="20">
        <x:v>0</x:v>
      </x:c>
      <x:c r="X15" s="20">
        <x:v>0</x:v>
      </x:c>
      <x:c r="Y15" s="20">
        <x:v>0</x:v>
      </x:c>
      <x:c r="Z15" s="20">
        <x:v>0</x:v>
      </x:c>
      <x:c r="AA15" s="20">
        <x:v>0</x:v>
      </x:c>
      <x:c r="AB15" s="20">
        <x:v>0</x:v>
      </x:c>
      <x:c r="AC15" s="20">
        <x:v>0</x:v>
      </x:c>
      <x:c r="AD15" s="20">
        <x:v>0</x:v>
      </x:c>
      <x:c r="AE15" s="20">
        <x:v>0</x:v>
      </x:c>
      <x:c r="AF15" s="20">
        <x:v>0</x:v>
      </x:c>
      <x:c r="AG15" s="20">
        <x:v>0</x:v>
      </x:c>
      <x:c r="AH15" s="20">
        <x:v>0</x:v>
      </x:c>
      <x:c r="AI15" s="20">
        <x:v>0</x:v>
      </x:c>
      <x:c r="AJ15" s="20">
        <x:v>0</x:v>
      </x:c>
      <x:c r="AK15" s="20">
        <x:v>0</x:v>
      </x:c>
      <x:c r="AL15" s="20">
        <x:v>0</x:v>
      </x:c>
      <x:c r="AM15" s="20">
        <x:v>0</x:v>
      </x:c>
      <x:c r="AN15" s="20">
        <x:v>0</x:v>
      </x:c>
      <x:c r="AO15" s="20">
        <x:v>0</x:v>
      </x:c>
      <x:c r="AP15" s="20">
        <x:v>0</x:v>
      </x:c>
      <x:c r="AQ15" s="20">
        <x:v>0</x:v>
      </x:c>
      <x:c r="AR15" s="20">
        <x:v>0.223</x:v>
      </x:c>
      <x:c r="AS15" s="12">
        <x:v>7.5020000000000007</x:v>
      </x:c>
      <x:c r="AT15" s="21" t="s">
        <x:v>284</x:v>
      </x:c>
    </x:row>
    <x:row r="16" ht="15">
      <x:c r="A16" s="21">
        <x:v>14</x:v>
      </x:c>
      <x:c r="B16" s="19" t="s">
        <x:v>244</x:v>
      </x:c>
      <x:c r="C16" s="20">
        <x:v>4.4999999999999998E-2</x:v>
      </x:c>
      <x:c r="D16" s="20">
        <x:v>2.8000000000000001E-2</x:v>
      </x:c>
      <x:c r="E16" s="20">
        <x:v>0.02</x:v>
      </x:c>
      <x:c r="F16" s="20">
        <x:v>4.4999999999999998E-2</x:v>
      </x:c>
      <x:c r="G16" s="20">
        <x:v>1.2E-2</x:v>
      </x:c>
      <x:c r="H16" s="20">
        <x:v>8.0000000000000002E-3</x:v>
      </x:c>
      <x:c r="I16" s="20">
        <x:v>0.02</x:v>
      </x:c>
      <x:c r="J16" s="20">
        <x:v>1.4999999999999999E-2</x:v>
      </x:c>
      <x:c r="K16" s="20">
        <x:v>0</x:v>
      </x:c>
      <x:c r="L16" s="20">
        <x:v>0</x:v>
      </x:c>
      <x:c r="M16" s="20">
        <x:v>0</x:v>
      </x:c>
      <x:c r="N16" s="20">
        <x:v>0</x:v>
      </x:c>
      <x:c r="O16" s="20">
        <x:v>0</x:v>
      </x:c>
      <x:c r="P16" s="20">
        <x:v>0</x:v>
      </x:c>
      <x:c r="Q16" s="20">
        <x:v>0</x:v>
      </x:c>
      <x:c r="R16" s="20">
        <x:v>0</x:v>
      </x:c>
      <x:c r="S16" s="20">
        <x:v>0</x:v>
      </x:c>
      <x:c r="T16" s="20">
        <x:v>0.03</x:v>
      </x:c>
      <x:c r="U16" s="20">
        <x:v>0</x:v>
      </x:c>
      <x:c r="V16" s="20">
        <x:v>0</x:v>
      </x:c>
      <x:c r="W16" s="20">
        <x:v>0</x:v>
      </x:c>
      <x:c r="X16" s="20">
        <x:v>0</x:v>
      </x:c>
      <x:c r="Y16" s="20">
        <x:v>0</x:v>
      </x:c>
      <x:c r="Z16" s="20">
        <x:v>0</x:v>
      </x:c>
      <x:c r="AA16" s="20">
        <x:v>0</x:v>
      </x:c>
      <x:c r="AB16" s="20">
        <x:v>0</x:v>
      </x:c>
      <x:c r="AC16" s="20">
        <x:v>0</x:v>
      </x:c>
      <x:c r="AD16" s="20">
        <x:v>0</x:v>
      </x:c>
      <x:c r="AE16" s="20">
        <x:v>0</x:v>
      </x:c>
      <x:c r="AF16" s="20">
        <x:v>0</x:v>
      </x:c>
      <x:c r="AG16" s="20">
        <x:v>0</x:v>
      </x:c>
      <x:c r="AH16" s="20">
        <x:v>0</x:v>
      </x:c>
      <x:c r="AI16" s="20">
        <x:v>0</x:v>
      </x:c>
      <x:c r="AJ16" s="20">
        <x:v>0</x:v>
      </x:c>
      <x:c r="AK16" s="20">
        <x:v>0</x:v>
      </x:c>
      <x:c r="AL16" s="20">
        <x:v>0</x:v>
      </x:c>
      <x:c r="AM16" s="20">
        <x:v>0</x:v>
      </x:c>
      <x:c r="AN16" s="20">
        <x:v>0</x:v>
      </x:c>
      <x:c r="AO16" s="20">
        <x:v>0</x:v>
      </x:c>
      <x:c r="AP16" s="20">
        <x:v>0</x:v>
      </x:c>
      <x:c r="AQ16" s="20">
        <x:v>0</x:v>
      </x:c>
      <x:c r="AR16" s="20">
        <x:v>0.223</x:v>
      </x:c>
      <x:c r="AS16" s="12">
        <x:v>7.7250000000000005</x:v>
      </x:c>
      <x:c r="AT16" s="21" t="s">
        <x:v>284</x:v>
      </x:c>
    </x:row>
    <x:row r="17" ht="15">
      <x:c r="A17" s="21">
        <x:v>15</x:v>
      </x:c>
      <x:c r="B17" s="19" t="s">
        <x:v>245</x:v>
      </x:c>
      <x:c r="C17" s="20">
        <x:v>4.4999999999999998E-2</x:v>
      </x:c>
      <x:c r="D17" s="20">
        <x:v>2.8000000000000001E-2</x:v>
      </x:c>
      <x:c r="E17" s="20">
        <x:v>0.02</x:v>
      </x:c>
      <x:c r="F17" s="20">
        <x:v>4.4999999999999998E-2</x:v>
      </x:c>
      <x:c r="G17" s="20">
        <x:v>1.2E-2</x:v>
      </x:c>
      <x:c r="H17" s="20">
        <x:v>8.0000000000000002E-3</x:v>
      </x:c>
      <x:c r="I17" s="20">
        <x:v>0.02</x:v>
      </x:c>
      <x:c r="J17" s="20">
        <x:v>1.4999999999999999E-2</x:v>
      </x:c>
      <x:c r="K17" s="20">
        <x:v>0</x:v>
      </x:c>
      <x:c r="L17" s="20">
        <x:v>0</x:v>
      </x:c>
      <x:c r="M17" s="20">
        <x:v>0</x:v>
      </x:c>
      <x:c r="N17" s="20">
        <x:v>0</x:v>
      </x:c>
      <x:c r="O17" s="20">
        <x:v>0</x:v>
      </x:c>
      <x:c r="P17" s="20">
        <x:v>0</x:v>
      </x:c>
      <x:c r="Q17" s="20">
        <x:v>0</x:v>
      </x:c>
      <x:c r="R17" s="20">
        <x:v>0</x:v>
      </x:c>
      <x:c r="S17" s="20">
        <x:v>0</x:v>
      </x:c>
      <x:c r="T17" s="20">
        <x:v>0.03</x:v>
      </x:c>
      <x:c r="U17" s="20">
        <x:v>0</x:v>
      </x:c>
      <x:c r="V17" s="20">
        <x:v>0</x:v>
      </x:c>
      <x:c r="W17" s="20">
        <x:v>0</x:v>
      </x:c>
      <x:c r="X17" s="20">
        <x:v>0</x:v>
      </x:c>
      <x:c r="Y17" s="20">
        <x:v>0</x:v>
      </x:c>
      <x:c r="Z17" s="20">
        <x:v>0</x:v>
      </x:c>
      <x:c r="AA17" s="20">
        <x:v>0</x:v>
      </x:c>
      <x:c r="AB17" s="20">
        <x:v>0</x:v>
      </x:c>
      <x:c r="AC17" s="20">
        <x:v>0</x:v>
      </x:c>
      <x:c r="AD17" s="20">
        <x:v>0</x:v>
      </x:c>
      <x:c r="AE17" s="20">
        <x:v>0</x:v>
      </x:c>
      <x:c r="AF17" s="20">
        <x:v>0</x:v>
      </x:c>
      <x:c r="AG17" s="20">
        <x:v>0</x:v>
      </x:c>
      <x:c r="AH17" s="20">
        <x:v>0</x:v>
      </x:c>
      <x:c r="AI17" s="20">
        <x:v>0</x:v>
      </x:c>
      <x:c r="AJ17" s="20">
        <x:v>0</x:v>
      </x:c>
      <x:c r="AK17" s="20">
        <x:v>0</x:v>
      </x:c>
      <x:c r="AL17" s="20">
        <x:v>0</x:v>
      </x:c>
      <x:c r="AM17" s="20">
        <x:v>0</x:v>
      </x:c>
      <x:c r="AN17" s="20">
        <x:v>0</x:v>
      </x:c>
      <x:c r="AO17" s="20">
        <x:v>0</x:v>
      </x:c>
      <x:c r="AP17" s="20">
        <x:v>0</x:v>
      </x:c>
      <x:c r="AQ17" s="20">
        <x:v>0</x:v>
      </x:c>
      <x:c r="AR17" s="20">
        <x:v>0.223</x:v>
      </x:c>
      <x:c r="AS17" s="12">
        <x:v>7.9480000000000004</x:v>
      </x:c>
      <x:c r="AT17" s="21" t="s">
        <x:v>284</x:v>
      </x:c>
    </x:row>
    <x:row r="18" ht="15">
      <x:c r="A18" s="18">
        <x:v>16</x:v>
      </x:c>
      <x:c r="B18" s="19" t="s">
        <x:v>246</x:v>
      </x:c>
      <x:c r="C18" s="20">
        <x:v>4.4999999999999998E-2</x:v>
      </x:c>
      <x:c r="D18" s="20">
        <x:v>2.8000000000000001E-2</x:v>
      </x:c>
      <x:c r="E18" s="20">
        <x:v>0.02</x:v>
      </x:c>
      <x:c r="F18" s="20">
        <x:v>4.4999999999999998E-2</x:v>
      </x:c>
      <x:c r="G18" s="20">
        <x:v>1.2E-2</x:v>
      </x:c>
      <x:c r="H18" s="20">
        <x:v>8.0000000000000002E-3</x:v>
      </x:c>
      <x:c r="I18" s="20">
        <x:v>0.02</x:v>
      </x:c>
      <x:c r="J18" s="20">
        <x:v>1.4999999999999999E-2</x:v>
      </x:c>
      <x:c r="K18" s="20">
        <x:v>0</x:v>
      </x:c>
      <x:c r="L18" s="20">
        <x:v>0</x:v>
      </x:c>
      <x:c r="M18" s="20">
        <x:v>0</x:v>
      </x:c>
      <x:c r="N18" s="20">
        <x:v>0.05</x:v>
      </x:c>
      <x:c r="O18" s="20">
        <x:v>0</x:v>
      </x:c>
      <x:c r="P18" s="20">
        <x:v>0.08</x:v>
      </x:c>
      <x:c r="Q18" s="20">
        <x:v>0.06</x:v>
      </x:c>
      <x:c r="R18" s="20">
        <x:v>0</x:v>
      </x:c>
      <x:c r="S18" s="20">
        <x:v>0</x:v>
      </x:c>
      <x:c r="T18" s="20">
        <x:v>0.03</x:v>
      </x:c>
      <x:c r="U18" s="20">
        <x:v>0</x:v>
      </x:c>
      <x:c r="V18" s="20">
        <x:v>0</x:v>
      </x:c>
      <x:c r="W18" s="20">
        <x:v>0</x:v>
      </x:c>
      <x:c r="X18" s="20">
        <x:v>0</x:v>
      </x:c>
      <x:c r="Y18" s="20">
        <x:v>0</x:v>
      </x:c>
      <x:c r="Z18" s="20">
        <x:v>0</x:v>
      </x:c>
      <x:c r="AA18" s="20">
        <x:v>0</x:v>
      </x:c>
      <x:c r="AB18" s="20">
        <x:v>0</x:v>
      </x:c>
      <x:c r="AC18" s="20">
        <x:v>0</x:v>
      </x:c>
      <x:c r="AD18" s="20">
        <x:v>0</x:v>
      </x:c>
      <x:c r="AE18" s="20">
        <x:v>0</x:v>
      </x:c>
      <x:c r="AF18" s="20">
        <x:v>0</x:v>
      </x:c>
      <x:c r="AG18" s="20">
        <x:v>0</x:v>
      </x:c>
      <x:c r="AH18" s="20">
        <x:v>0</x:v>
      </x:c>
      <x:c r="AI18" s="20">
        <x:v>0</x:v>
      </x:c>
      <x:c r="AJ18" s="20">
        <x:v>0</x:v>
      </x:c>
      <x:c r="AK18" s="20">
        <x:v>0</x:v>
      </x:c>
      <x:c r="AL18" s="20">
        <x:v>0</x:v>
      </x:c>
      <x:c r="AM18" s="20">
        <x:v>0</x:v>
      </x:c>
      <x:c r="AN18" s="20">
        <x:v>0</x:v>
      </x:c>
      <x:c r="AO18" s="20">
        <x:v>0</x:v>
      </x:c>
      <x:c r="AP18" s="20">
        <x:v>0</x:v>
      </x:c>
      <x:c r="AQ18" s="20">
        <x:v>0</x:v>
      </x:c>
      <x:c r="AR18" s="20">
        <x:v>0.41300000000000003</x:v>
      </x:c>
      <x:c r="AS18" s="12">
        <x:v>8.3610000000000007</x:v>
      </x:c>
      <x:c r="AT18" s="18" t="s">
        <x:v>287</x:v>
      </x:c>
    </x:row>
    <x:row r="19" ht="15">
      <x:c r="A19" s="18">
        <x:v>17</x:v>
      </x:c>
      <x:c r="B19" s="19" t="s">
        <x:v>248</x:v>
      </x:c>
      <x:c r="C19" s="20">
        <x:v>4.4999999999999998E-2</x:v>
      </x:c>
      <x:c r="D19" s="20">
        <x:v>2.8000000000000001E-2</x:v>
      </x:c>
      <x:c r="E19" s="20">
        <x:v>0.02</x:v>
      </x:c>
      <x:c r="F19" s="20">
        <x:v>4.4999999999999998E-2</x:v>
      </x:c>
      <x:c r="G19" s="20">
        <x:v>1.2E-2</x:v>
      </x:c>
      <x:c r="H19" s="20">
        <x:v>8.0000000000000002E-3</x:v>
      </x:c>
      <x:c r="I19" s="20">
        <x:v>0.02</x:v>
      </x:c>
      <x:c r="J19" s="20">
        <x:v>1.4999999999999999E-2</x:v>
      </x:c>
      <x:c r="K19" s="20">
        <x:v>0</x:v>
      </x:c>
      <x:c r="L19" s="20">
        <x:v>0</x:v>
      </x:c>
      <x:c r="M19" s="20">
        <x:v>0</x:v>
      </x:c>
      <x:c r="N19" s="20">
        <x:v>0.04</x:v>
      </x:c>
      <x:c r="O19" s="20">
        <x:v>0</x:v>
      </x:c>
      <x:c r="P19" s="20">
        <x:v>0.15</x:v>
      </x:c>
      <x:c r="Q19" s="20">
        <x:v>0.06</x:v>
      </x:c>
      <x:c r="R19" s="20">
        <x:v>0</x:v>
      </x:c>
      <x:c r="S19" s="20">
        <x:v>0</x:v>
      </x:c>
      <x:c r="T19" s="20">
        <x:v>0.03</x:v>
      </x:c>
      <x:c r="U19" s="20">
        <x:v>0</x:v>
      </x:c>
      <x:c r="V19" s="20">
        <x:v>0</x:v>
      </x:c>
      <x:c r="W19" s="20">
        <x:v>0</x:v>
      </x:c>
      <x:c r="X19" s="20">
        <x:v>0</x:v>
      </x:c>
      <x:c r="Y19" s="20">
        <x:v>0</x:v>
      </x:c>
      <x:c r="Z19" s="20">
        <x:v>0</x:v>
      </x:c>
      <x:c r="AA19" s="20">
        <x:v>0</x:v>
      </x:c>
      <x:c r="AB19" s="20">
        <x:v>0</x:v>
      </x:c>
      <x:c r="AC19" s="20">
        <x:v>0</x:v>
      </x:c>
      <x:c r="AD19" s="20">
        <x:v>0</x:v>
      </x:c>
      <x:c r="AE19" s="20">
        <x:v>0</x:v>
      </x:c>
      <x:c r="AF19" s="20">
        <x:v>0</x:v>
      </x:c>
      <x:c r="AG19" s="20">
        <x:v>0</x:v>
      </x:c>
      <x:c r="AH19" s="20">
        <x:v>0</x:v>
      </x:c>
      <x:c r="AI19" s="20">
        <x:v>0</x:v>
      </x:c>
      <x:c r="AJ19" s="20">
        <x:v>0</x:v>
      </x:c>
      <x:c r="AK19" s="20">
        <x:v>0</x:v>
      </x:c>
      <x:c r="AL19" s="20">
        <x:v>0</x:v>
      </x:c>
      <x:c r="AM19" s="20">
        <x:v>0</x:v>
      </x:c>
      <x:c r="AN19" s="20">
        <x:v>0</x:v>
      </x:c>
      <x:c r="AO19" s="20">
        <x:v>0</x:v>
      </x:c>
      <x:c r="AP19" s="20">
        <x:v>0</x:v>
      </x:c>
      <x:c r="AQ19" s="20">
        <x:v>0</x:v>
      </x:c>
      <x:c r="AR19" s="20">
        <x:v>0.47299999999999998</x:v>
      </x:c>
      <x:c r="AS19" s="12">
        <x:v>8.8340000000000014</x:v>
      </x:c>
      <x:c r="AT19" s="18" t="s">
        <x:v>288</x:v>
      </x:c>
    </x:row>
    <x:row r="20" ht="15">
      <x:c r="A20" s="18">
        <x:v>18</x:v>
      </x:c>
      <x:c r="B20" s="19" t="s">
        <x:v>250</x:v>
      </x:c>
      <x:c r="C20" s="20">
        <x:v>4.4999999999999998E-2</x:v>
      </x:c>
      <x:c r="D20" s="20">
        <x:v>2.8000000000000001E-2</x:v>
      </x:c>
      <x:c r="E20" s="20">
        <x:v>0.02</x:v>
      </x:c>
      <x:c r="F20" s="20">
        <x:v>4.4999999999999998E-2</x:v>
      </x:c>
      <x:c r="G20" s="20">
        <x:v>1.2E-2</x:v>
      </x:c>
      <x:c r="H20" s="20">
        <x:v>8.0000000000000002E-3</x:v>
      </x:c>
      <x:c r="I20" s="20">
        <x:v>0.02</x:v>
      </x:c>
      <x:c r="J20" s="20">
        <x:v>1.4999999999999999E-2</x:v>
      </x:c>
      <x:c r="K20" s="20">
        <x:v>1.4999999999999999E-2</x:v>
      </x:c>
      <x:c r="L20" s="20">
        <x:v>0.04</x:v>
      </x:c>
      <x:c r="M20" s="20">
        <x:v>0.12</x:v>
      </x:c>
      <x:c r="N20" s="20">
        <x:v>0.06</x:v>
      </x:c>
      <x:c r="O20" s="20">
        <x:v>0</x:v>
      </x:c>
      <x:c r="P20" s="20">
        <x:v>0.15</x:v>
      </x:c>
      <x:c r="Q20" s="20">
        <x:v>0.08</x:v>
      </x:c>
      <x:c r="R20" s="20">
        <x:v>0</x:v>
      </x:c>
      <x:c r="S20" s="20">
        <x:v>0.35</x:v>
      </x:c>
      <x:c r="T20" s="20">
        <x:v>0.03</x:v>
      </x:c>
      <x:c r="U20" s="20">
        <x:v>0.8</x:v>
      </x:c>
      <x:c r="V20" s="20">
        <x:v>0.08</x:v>
      </x:c>
      <x:c r="W20" s="20">
        <x:v>0</x:v>
      </x:c>
      <x:c r="X20" s="20">
        <x:v>0.03</x:v>
      </x:c>
      <x:c r="Y20" s="20">
        <x:v>0</x:v>
      </x:c>
      <x:c r="Z20" s="20">
        <x:v>0</x:v>
      </x:c>
      <x:c r="AA20" s="20">
        <x:v>0</x:v>
      </x:c>
      <x:c r="AB20" s="20">
        <x:v>0</x:v>
      </x:c>
      <x:c r="AC20" s="20">
        <x:v>0</x:v>
      </x:c>
      <x:c r="AD20" s="20">
        <x:v>0</x:v>
      </x:c>
      <x:c r="AE20" s="20">
        <x:v>0</x:v>
      </x:c>
      <x:c r="AF20" s="20">
        <x:v>0</x:v>
      </x:c>
      <x:c r="AG20" s="20">
        <x:v>0</x:v>
      </x:c>
      <x:c r="AH20" s="20">
        <x:v>0.6</x:v>
      </x:c>
      <x:c r="AI20" s="20">
        <x:v>0</x:v>
      </x:c>
      <x:c r="AJ20" s="20">
        <x:v>0.06</x:v>
      </x:c>
      <x:c r="AK20" s="20">
        <x:v>0</x:v>
      </x:c>
      <x:c r="AL20" s="20">
        <x:v>0</x:v>
      </x:c>
      <x:c r="AM20" s="20">
        <x:v>0</x:v>
      </x:c>
      <x:c r="AN20" s="20">
        <x:v>0</x:v>
      </x:c>
      <x:c r="AO20" s="20">
        <x:v>0</x:v>
      </x:c>
      <x:c r="AP20" s="20">
        <x:v>0</x:v>
      </x:c>
      <x:c r="AQ20" s="20">
        <x:v>0</x:v>
      </x:c>
      <x:c r="AR20" s="20">
        <x:v>2.6080000000000001</x:v>
      </x:c>
      <x:c r="AS20" s="12">
        <x:v>11.442000000000002</x:v>
      </x:c>
      <x:c r="AT20" s="18" t="s">
        <x:v>289</x:v>
      </x:c>
    </x:row>
    <x:row r="21" ht="15">
      <x:c r="A21" s="18">
        <x:v>19</x:v>
      </x:c>
      <x:c r="B21" s="19" t="s">
        <x:v>252</x:v>
      </x:c>
      <x:c r="C21" s="20">
        <x:v>4.4999999999999998E-2</x:v>
      </x:c>
      <x:c r="D21" s="20">
        <x:v>2.8000000000000001E-2</x:v>
      </x:c>
      <x:c r="E21" s="20">
        <x:v>0.02</x:v>
      </x:c>
      <x:c r="F21" s="20">
        <x:v>4.4999999999999998E-2</x:v>
      </x:c>
      <x:c r="G21" s="20">
        <x:v>1.2E-2</x:v>
      </x:c>
      <x:c r="H21" s="20">
        <x:v>8.0000000000000002E-3</x:v>
      </x:c>
      <x:c r="I21" s="20">
        <x:v>0.02</x:v>
      </x:c>
      <x:c r="J21" s="20">
        <x:v>1.4999999999999999E-2</x:v>
      </x:c>
      <x:c r="K21" s="20">
        <x:v>1.4999999999999999E-2</x:v>
      </x:c>
      <x:c r="L21" s="20">
        <x:v>0.04</x:v>
      </x:c>
      <x:c r="M21" s="20">
        <x:v>0.18</x:v>
      </x:c>
      <x:c r="N21" s="20">
        <x:v>0.08</x:v>
      </x:c>
      <x:c r="O21" s="20">
        <x:v>0.05</x:v>
      </x:c>
      <x:c r="P21" s="20">
        <x:v>0.18</x:v>
      </x:c>
      <x:c r="Q21" s="20">
        <x:v>0.08</x:v>
      </x:c>
      <x:c r="R21" s="20">
        <x:v>0</x:v>
      </x:c>
      <x:c r="S21" s="20">
        <x:v>0</x:v>
      </x:c>
      <x:c r="T21" s="20">
        <x:v>0.03</x:v>
      </x:c>
      <x:c r="U21" s="20">
        <x:v>0.7</x:v>
      </x:c>
      <x:c r="V21" s="20">
        <x:v>0.05</x:v>
      </x:c>
      <x:c r="W21" s="20">
        <x:v>0.25</x:v>
      </x:c>
      <x:c r="X21" s="20">
        <x:v>0</x:v>
      </x:c>
      <x:c r="Y21" s="20">
        <x:v>0</x:v>
      </x:c>
      <x:c r="Z21" s="20">
        <x:v>0</x:v>
      </x:c>
      <x:c r="AA21" s="20">
        <x:v>0</x:v>
      </x:c>
      <x:c r="AB21" s="20">
        <x:v>0</x:v>
      </x:c>
      <x:c r="AC21" s="20">
        <x:v>0</x:v>
      </x:c>
      <x:c r="AD21" s="20">
        <x:v>0</x:v>
      </x:c>
      <x:c r="AE21" s="20">
        <x:v>0</x:v>
      </x:c>
      <x:c r="AF21" s="20">
        <x:v>0</x:v>
      </x:c>
      <x:c r="AG21" s="20">
        <x:v>0</x:v>
      </x:c>
      <x:c r="AH21" s="20">
        <x:v>0.9</x:v>
      </x:c>
      <x:c r="AI21" s="20">
        <x:v>0</x:v>
      </x:c>
      <x:c r="AJ21" s="20">
        <x:v>0.06</x:v>
      </x:c>
      <x:c r="AK21" s="20">
        <x:v>0</x:v>
      </x:c>
      <x:c r="AL21" s="20">
        <x:v>0</x:v>
      </x:c>
      <x:c r="AM21" s="20">
        <x:v>0</x:v>
      </x:c>
      <x:c r="AN21" s="20">
        <x:v>0</x:v>
      </x:c>
      <x:c r="AO21" s="20">
        <x:v>0</x:v>
      </x:c>
      <x:c r="AP21" s="20">
        <x:v>0</x:v>
      </x:c>
      <x:c r="AQ21" s="20">
        <x:v>0</x:v>
      </x:c>
      <x:c r="AR21" s="20">
        <x:v>2.8080000000000003</x:v>
      </x:c>
      <x:c r="AS21" s="12">
        <x:v>14.250000000000002</x:v>
      </x:c>
      <x:c r="AT21" s="18" t="s">
        <x:v>290</x:v>
      </x:c>
    </x:row>
    <x:row r="22" ht="15">
      <x:c r="A22" s="18">
        <x:v>20</x:v>
      </x:c>
      <x:c r="B22" s="19" t="s">
        <x:v>254</x:v>
      </x:c>
      <x:c r="C22" s="20">
        <x:v>4.4999999999999998E-2</x:v>
      </x:c>
      <x:c r="D22" s="20">
        <x:v>2.8000000000000001E-2</x:v>
      </x:c>
      <x:c r="E22" s="20">
        <x:v>0.02</x:v>
      </x:c>
      <x:c r="F22" s="20">
        <x:v>4.4999999999999998E-2</x:v>
      </x:c>
      <x:c r="G22" s="20">
        <x:v>1.2E-2</x:v>
      </x:c>
      <x:c r="H22" s="20">
        <x:v>8.0000000000000002E-3</x:v>
      </x:c>
      <x:c r="I22" s="20">
        <x:v>0.02</x:v>
      </x:c>
      <x:c r="J22" s="20">
        <x:v>1.4999999999999999E-2</x:v>
      </x:c>
      <x:c r="K22" s="20">
        <x:v>1.4999999999999999E-2</x:v>
      </x:c>
      <x:c r="L22" s="20">
        <x:v>0</x:v>
      </x:c>
      <x:c r="M22" s="20">
        <x:v>0.18</x:v>
      </x:c>
      <x:c r="N22" s="20">
        <x:v>0.08</x:v>
      </x:c>
      <x:c r="O22" s="20">
        <x:v>0.05</x:v>
      </x:c>
      <x:c r="P22" s="20">
        <x:v>0.18</x:v>
      </x:c>
      <x:c r="Q22" s="20">
        <x:v>0.08</x:v>
      </x:c>
      <x:c r="R22" s="20">
        <x:v>0.06</x:v>
      </x:c>
      <x:c r="S22" s="20">
        <x:v>0</x:v>
      </x:c>
      <x:c r="T22" s="20">
        <x:v>0.03</x:v>
      </x:c>
      <x:c r="U22" s="20">
        <x:v>0</x:v>
      </x:c>
      <x:c r="V22" s="20">
        <x:v>0</x:v>
      </x:c>
      <x:c r="W22" s="20">
        <x:v>0</x:v>
      </x:c>
      <x:c r="X22" s="20">
        <x:v>0.05</x:v>
      </x:c>
      <x:c r="Y22" s="20">
        <x:v>0</x:v>
      </x:c>
      <x:c r="Z22" s="20">
        <x:v>0.02</x:v>
      </x:c>
      <x:c r="AA22" s="20">
        <x:v>0</x:v>
      </x:c>
      <x:c r="AB22" s="20">
        <x:v>0</x:v>
      </x:c>
      <x:c r="AC22" s="20">
        <x:v>0.15</x:v>
      </x:c>
      <x:c r="AD22" s="20">
        <x:v>0</x:v>
      </x:c>
      <x:c r="AE22" s="20">
        <x:v>0</x:v>
      </x:c>
      <x:c r="AF22" s="20">
        <x:v>0</x:v>
      </x:c>
      <x:c r="AG22" s="20">
        <x:v>0</x:v>
      </x:c>
      <x:c r="AH22" s="20">
        <x:v>0.9</x:v>
      </x:c>
      <x:c r="AI22" s="20">
        <x:v>0</x:v>
      </x:c>
      <x:c r="AJ22" s="20">
        <x:v>0.06</x:v>
      </x:c>
      <x:c r="AK22" s="20">
        <x:v>0</x:v>
      </x:c>
      <x:c r="AL22" s="20">
        <x:v>0</x:v>
      </x:c>
      <x:c r="AM22" s="20">
        <x:v>0</x:v>
      </x:c>
      <x:c r="AN22" s="20">
        <x:v>0</x:v>
      </x:c>
      <x:c r="AO22" s="20">
        <x:v>0</x:v>
      </x:c>
      <x:c r="AP22" s="20">
        <x:v>0</x:v>
      </x:c>
      <x:c r="AQ22" s="20">
        <x:v>0</x:v>
      </x:c>
      <x:c r="AR22" s="20">
        <x:v>2.048</x:v>
      </x:c>
      <x:c r="AS22" s="12">
        <x:v>16.298000000000002</x:v>
      </x:c>
      <x:c r="AT22" s="18" t="s">
        <x:v>291</x:v>
      </x:c>
    </x:row>
    <x:row r="23" ht="15">
      <x:c r="A23" s="18">
        <x:v>21</x:v>
      </x:c>
      <x:c r="B23" s="19" t="s">
        <x:v>256</x:v>
      </x:c>
      <x:c r="C23" s="20">
        <x:v>4.4999999999999998E-2</x:v>
      </x:c>
      <x:c r="D23" s="20">
        <x:v>2.8000000000000001E-2</x:v>
      </x:c>
      <x:c r="E23" s="20">
        <x:v>0.02</x:v>
      </x:c>
      <x:c r="F23" s="20">
        <x:v>4.4999999999999998E-2</x:v>
      </x:c>
      <x:c r="G23" s="20">
        <x:v>1.2E-2</x:v>
      </x:c>
      <x:c r="H23" s="20">
        <x:v>8.0000000000000002E-3</x:v>
      </x:c>
      <x:c r="I23" s="20">
        <x:v>0.02</x:v>
      </x:c>
      <x:c r="J23" s="20">
        <x:v>1.4999999999999999E-2</x:v>
      </x:c>
      <x:c r="K23" s="20">
        <x:v>1.4999999999999999E-2</x:v>
      </x:c>
      <x:c r="L23" s="20">
        <x:v>0</x:v>
      </x:c>
      <x:c r="M23" s="20">
        <x:v>0.18</x:v>
      </x:c>
      <x:c r="N23" s="20">
        <x:v>0.08</x:v>
      </x:c>
      <x:c r="O23" s="20">
        <x:v>0.05</x:v>
      </x:c>
      <x:c r="P23" s="20">
        <x:v>0.18</x:v>
      </x:c>
      <x:c r="Q23" s="20">
        <x:v>0.08</x:v>
      </x:c>
      <x:c r="R23" s="20">
        <x:v>0.06</x:v>
      </x:c>
      <x:c r="S23" s="20">
        <x:v>0</x:v>
      </x:c>
      <x:c r="T23" s="20">
        <x:v>0.03</x:v>
      </x:c>
      <x:c r="U23" s="20">
        <x:v>0</x:v>
      </x:c>
      <x:c r="V23" s="20">
        <x:v>0</x:v>
      </x:c>
      <x:c r="W23" s="20">
        <x:v>0</x:v>
      </x:c>
      <x:c r="X23" s="20">
        <x:v>0</x:v>
      </x:c>
      <x:c r="Y23" s="20">
        <x:v>0.6</x:v>
      </x:c>
      <x:c r="Z23" s="20">
        <x:v>0</x:v>
      </x:c>
      <x:c r="AA23" s="20">
        <x:v>0.12</x:v>
      </x:c>
      <x:c r="AB23" s="20">
        <x:v>0</x:v>
      </x:c>
      <x:c r="AC23" s="20">
        <x:v>0</x:v>
      </x:c>
      <x:c r="AD23" s="20">
        <x:v>0</x:v>
      </x:c>
      <x:c r="AE23" s="20">
        <x:v>0.05</x:v>
      </x:c>
      <x:c r="AF23" s="20">
        <x:v>0</x:v>
      </x:c>
      <x:c r="AG23" s="20">
        <x:v>0</x:v>
      </x:c>
      <x:c r="AH23" s="20">
        <x:v>0.9</x:v>
      </x:c>
      <x:c r="AI23" s="20">
        <x:v>0</x:v>
      </x:c>
      <x:c r="AJ23" s="20">
        <x:v>0.06</x:v>
      </x:c>
      <x:c r="AK23" s="20">
        <x:v>0</x:v>
      </x:c>
      <x:c r="AL23" s="20">
        <x:v>0</x:v>
      </x:c>
      <x:c r="AM23" s="20">
        <x:v>0</x:v>
      </x:c>
      <x:c r="AN23" s="20">
        <x:v>0</x:v>
      </x:c>
      <x:c r="AO23" s="20">
        <x:v>0</x:v>
      </x:c>
      <x:c r="AP23" s="20">
        <x:v>0</x:v>
      </x:c>
      <x:c r="AQ23" s="20">
        <x:v>0</x:v>
      </x:c>
      <x:c r="AR23" s="20">
        <x:v>2.5980000000000003</x:v>
      </x:c>
      <x:c r="AS23" s="12">
        <x:v>18.896000000000001</x:v>
      </x:c>
      <x:c r="AT23" s="18" t="s">
        <x:v>292</x:v>
      </x:c>
    </x:row>
    <x:row r="24" ht="15">
      <x:c r="A24" s="18">
        <x:v>22</x:v>
      </x:c>
      <x:c r="B24" s="19" t="s">
        <x:v>258</x:v>
      </x:c>
      <x:c r="C24" s="20">
        <x:v>4.4999999999999998E-2</x:v>
      </x:c>
      <x:c r="D24" s="20">
        <x:v>2.8000000000000001E-2</x:v>
      </x:c>
      <x:c r="E24" s="20">
        <x:v>0.02</x:v>
      </x:c>
      <x:c r="F24" s="20">
        <x:v>4.4999999999999998E-2</x:v>
      </x:c>
      <x:c r="G24" s="20">
        <x:v>1.2E-2</x:v>
      </x:c>
      <x:c r="H24" s="20">
        <x:v>8.0000000000000002E-3</x:v>
      </x:c>
      <x:c r="I24" s="20">
        <x:v>0.02</x:v>
      </x:c>
      <x:c r="J24" s="20">
        <x:v>1.4999999999999999E-2</x:v>
      </x:c>
      <x:c r="K24" s="20">
        <x:v>1.4999999999999999E-2</x:v>
      </x:c>
      <x:c r="L24" s="20">
        <x:v>0.03</x:v>
      </x:c>
      <x:c r="M24" s="20">
        <x:v>0.12</x:v>
      </x:c>
      <x:c r="N24" s="20">
        <x:v>0.06</x:v>
      </x:c>
      <x:c r="O24" s="20">
        <x:v>0.04</x:v>
      </x:c>
      <x:c r="P24" s="20">
        <x:v>0.12</x:v>
      </x:c>
      <x:c r="Q24" s="20">
        <x:v>0.08</x:v>
      </x:c>
      <x:c r="R24" s="20">
        <x:v>0</x:v>
      </x:c>
      <x:c r="S24" s="20">
        <x:v>0</x:v>
      </x:c>
      <x:c r="T24" s="20">
        <x:v>0.03</x:v>
      </x:c>
      <x:c r="U24" s="20">
        <x:v>0</x:v>
      </x:c>
      <x:c r="V24" s="20">
        <x:v>0</x:v>
      </x:c>
      <x:c r="W24" s="20">
        <x:v>0</x:v>
      </x:c>
      <x:c r="X24" s="20">
        <x:v>0</x:v>
      </x:c>
      <x:c r="Y24" s="20">
        <x:v>0.3</x:v>
      </x:c>
      <x:c r="Z24" s="20">
        <x:v>0</x:v>
      </x:c>
      <x:c r="AA24" s="20">
        <x:v>0</x:v>
      </x:c>
      <x:c r="AB24" s="20">
        <x:v>0.25</x:v>
      </x:c>
      <x:c r="AC24" s="20">
        <x:v>0</x:v>
      </x:c>
      <x:c r="AD24" s="20">
        <x:v>0</x:v>
      </x:c>
      <x:c r="AE24" s="20">
        <x:v>0</x:v>
      </x:c>
      <x:c r="AF24" s="20">
        <x:v>0</x:v>
      </x:c>
      <x:c r="AG24" s="20">
        <x:v>0.06</x:v>
      </x:c>
      <x:c r="AH24" s="20">
        <x:v>0.9</x:v>
      </x:c>
      <x:c r="AI24" s="20">
        <x:v>0.35</x:v>
      </x:c>
      <x:c r="AJ24" s="20">
        <x:v>0.06</x:v>
      </x:c>
      <x:c r="AK24" s="20">
        <x:v>0</x:v>
      </x:c>
      <x:c r="AL24" s="20">
        <x:v>0</x:v>
      </x:c>
      <x:c r="AM24" s="20">
        <x:v>0</x:v>
      </x:c>
      <x:c r="AN24" s="20">
        <x:v>0</x:v>
      </x:c>
      <x:c r="AO24" s="20">
        <x:v>0</x:v>
      </x:c>
      <x:c r="AP24" s="20">
        <x:v>0</x:v>
      </x:c>
      <x:c r="AQ24" s="20">
        <x:v>0</x:v>
      </x:c>
      <x:c r="AR24" s="20">
        <x:v>2.6080000000000001</x:v>
      </x:c>
      <x:c r="AS24" s="12">
        <x:v>21.504000000000001</x:v>
      </x:c>
      <x:c r="AT24" s="18" t="s">
        <x:v>293</x:v>
      </x:c>
    </x:row>
    <x:row r="25" ht="15">
      <x:c r="A25" s="18">
        <x:v>23</x:v>
      </x:c>
      <x:c r="B25" s="19" t="s">
        <x:v>260</x:v>
      </x:c>
      <x:c r="C25" s="20">
        <x:v>4.4999999999999998E-2</x:v>
      </x:c>
      <x:c r="D25" s="20">
        <x:v>2.8000000000000001E-2</x:v>
      </x:c>
      <x:c r="E25" s="20">
        <x:v>0.02</x:v>
      </x:c>
      <x:c r="F25" s="20">
        <x:v>4.4999999999999998E-2</x:v>
      </x:c>
      <x:c r="G25" s="20">
        <x:v>1.2E-2</x:v>
      </x:c>
      <x:c r="H25" s="20">
        <x:v>8.0000000000000002E-3</x:v>
      </x:c>
      <x:c r="I25" s="20">
        <x:v>0.02</x:v>
      </x:c>
      <x:c r="J25" s="20">
        <x:v>1.4999999999999999E-2</x:v>
      </x:c>
      <x:c r="K25" s="20">
        <x:v>1.4999999999999999E-2</x:v>
      </x:c>
      <x:c r="L25" s="20">
        <x:v>0</x:v>
      </x:c>
      <x:c r="M25" s="20">
        <x:v>0.05</x:v>
      </x:c>
      <x:c r="N25" s="20">
        <x:v>0</x:v>
      </x:c>
      <x:c r="O25" s="20">
        <x:v>0</x:v>
      </x:c>
      <x:c r="P25" s="20">
        <x:v>0</x:v>
      </x:c>
      <x:c r="Q25" s="20">
        <x:v>0.06</x:v>
      </x:c>
      <x:c r="R25" s="20">
        <x:v>0</x:v>
      </x:c>
      <x:c r="S25" s="20">
        <x:v>0</x:v>
      </x:c>
      <x:c r="T25" s="20">
        <x:v>0</x:v>
      </x:c>
      <x:c r="U25" s="20">
        <x:v>0</x:v>
      </x:c>
      <x:c r="V25" s="20">
        <x:v>0</x:v>
      </x:c>
      <x:c r="W25" s="20">
        <x:v>0</x:v>
      </x:c>
      <x:c r="X25" s="20">
        <x:v>0</x:v>
      </x:c>
      <x:c r="Y25" s="20">
        <x:v>0</x:v>
      </x:c>
      <x:c r="Z25" s="20">
        <x:v>0</x:v>
      </x:c>
      <x:c r="AA25" s="20">
        <x:v>0</x:v>
      </x:c>
      <x:c r="AB25" s="20">
        <x:v>0.2</x:v>
      </x:c>
      <x:c r="AC25" s="20">
        <x:v>0</x:v>
      </x:c>
      <x:c r="AD25" s="20">
        <x:v>0</x:v>
      </x:c>
      <x:c r="AE25" s="20">
        <x:v>0</x:v>
      </x:c>
      <x:c r="AF25" s="20">
        <x:v>0</x:v>
      </x:c>
      <x:c r="AG25" s="20">
        <x:v>0</x:v>
      </x:c>
      <x:c r="AH25" s="20">
        <x:v>0.65</x:v>
      </x:c>
      <x:c r="AI25" s="20">
        <x:v>0.35</x:v>
      </x:c>
      <x:c r="AJ25" s="20">
        <x:v>0.06</x:v>
      </x:c>
      <x:c r="AK25" s="20">
        <x:v>0</x:v>
      </x:c>
      <x:c r="AL25" s="20">
        <x:v>0</x:v>
      </x:c>
      <x:c r="AM25" s="20">
        <x:v>0</x:v>
      </x:c>
      <x:c r="AN25" s="20">
        <x:v>0</x:v>
      </x:c>
      <x:c r="AO25" s="20">
        <x:v>0</x:v>
      </x:c>
      <x:c r="AP25" s="20">
        <x:v>0</x:v>
      </x:c>
      <x:c r="AQ25" s="20">
        <x:v>0</x:v>
      </x:c>
      <x:c r="AR25" s="20">
        <x:v>1.5780000000000003</x:v>
      </x:c>
      <x:c r="AS25" s="12">
        <x:v>23.082000000000001</x:v>
      </x:c>
      <x:c r="AT25" s="18" t="s">
        <x:v>294</x:v>
      </x:c>
    </x:row>
    <x:row r="26" ht="15">
      <x:c r="A26" s="24" t="s">
        <x:v>262</x:v>
      </x:c>
      <x:c r="B26" s="25"/>
      <x:c r="C26" s="22" t="n">
        <x:f>SUM(C2:C25)</x:f>
        <x:v>1.0800000000000003</x:v>
      </x:c>
      <x:c r="D26" s="22" t="n">
        <x:f t="shared" ref="D26:AR26" si="0">SUM(D2:D25)</x:f>
        <x:v>0.6720000000000004</x:v>
      </x:c>
      <x:c r="E26" s="22">
        <x:f t="shared" si="0"/>
        <x:v>0.48000000000000015</x:v>
      </x:c>
      <x:c r="F26" s="22">
        <x:f t="shared" si="0"/>
        <x:v>0.93000000000000027</x:v>
      </x:c>
      <x:c r="G26" s="22">
        <x:f t="shared" si="0"/>
        <x:v>0.28800000000000009</x:v>
      </x:c>
      <x:c r="H26" s="22">
        <x:f t="shared" si="0"/>
        <x:v>0.19200000000000012</x:v>
      </x:c>
      <x:c r="I26" s="22">
        <x:f t="shared" si="0"/>
        <x:v>0.48000000000000015</x:v>
      </x:c>
      <x:c r="J26" s="22">
        <x:f t="shared" si="0"/>
        <x:v>0.36000000000000021</x:v>
      </x:c>
      <x:c r="K26" s="22">
        <x:f t="shared" si="0"/>
        <x:v>0.09</x:v>
      </x:c>
      <x:c r="L26" s="22">
        <x:f t="shared" si="0"/>
        <x:v>0.17</x:v>
      </x:c>
      <x:c r="M26" s="22">
        <x:f t="shared" si="0"/>
        <x:v>0.9900000000000001</x:v>
      </x:c>
      <x:c r="N26" s="22">
        <x:f t="shared" si="0"/>
        <x:v>0.49000000000000005</x:v>
      </x:c>
      <x:c r="O26" s="22">
        <x:f t="shared" si="0"/>
        <x:v>0.19000000000000003</x:v>
      </x:c>
      <x:c r="P26" s="22">
        <x:f t="shared" si="0"/>
        <x:v>1.04</x:v>
      </x:c>
      <x:c r="Q26" s="22">
        <x:f t="shared" si="0"/>
        <x:v>0.58000000000000007</x:v>
      </x:c>
      <x:c r="R26" s="22">
        <x:f t="shared" si="0"/>
        <x:v>0.12</x:v>
      </x:c>
      <x:c r="S26" s="22">
        <x:f t="shared" si="0"/>
        <x:v>0.6</x:v>
      </x:c>
      <x:c r="T26" s="22">
        <x:f t="shared" si="0"/>
        <x:v>0.4800000000000002</x:v>
      </x:c>
      <x:c r="U26" s="22">
        <x:f t="shared" si="0"/>
        <x:v>2.0499999999999998</x:v>
      </x:c>
      <x:c r="V26" s="22">
        <x:f t="shared" si="0"/>
        <x:v>0.16999999999999998</x:v>
      </x:c>
      <x:c r="W26" s="22">
        <x:f t="shared" si="0"/>
        <x:v>0.25</x:v>
      </x:c>
      <x:c r="X26" s="22">
        <x:f t="shared" si="0"/>
        <x:v>0.25</x:v>
      </x:c>
      <x:c r="Y26" s="22">
        <x:f t="shared" si="0"/>
        <x:v>0.89999999999999991</x:v>
      </x:c>
      <x:c r="Z26" s="22">
        <x:f t="shared" si="0"/>
        <x:v>0.02</x:v>
      </x:c>
      <x:c r="AA26" s="22">
        <x:f t="shared" si="0"/>
        <x:v>0.12</x:v>
      </x:c>
      <x:c r="AB26" s="22">
        <x:f t="shared" si="0"/>
        <x:v>0.45</x:v>
      </x:c>
      <x:c r="AC26" s="22">
        <x:f t="shared" si="0"/>
        <x:v>0.15</x:v>
      </x:c>
      <x:c r="AD26" s="22">
        <x:f t="shared" si="0"/>
        <x:v>0.05</x:v>
      </x:c>
      <x:c r="AE26" s="22">
        <x:f t="shared" si="0"/>
        <x:v>0.05</x:v>
      </x:c>
      <x:c r="AF26" s="22">
        <x:f t="shared" si="0"/>
        <x:v>0</x:v>
      </x:c>
      <x:c r="AG26" s="22">
        <x:f t="shared" si="0"/>
        <x:v>0.21</x:v>
      </x:c>
      <x:c r="AH26" s="22">
        <x:f t="shared" si="0"/>
        <x:v>5.15</x:v>
      </x:c>
      <x:c r="AI26" s="22">
        <x:f t="shared" si="0"/>
        <x:v>2.95</x:v>
      </x:c>
      <x:c r="AJ26" s="22">
        <x:f t="shared" si="0"/>
        <x:v>0.7200000000000002</x:v>
      </x:c>
      <x:c r="AK26" s="22">
        <x:f t="shared" si="0"/>
        <x:v>0.36</x:v>
      </x:c>
      <x:c r="AL26" s="22">
        <x:f t="shared" si="0"/>
        <x:v>0</x:v>
      </x:c>
      <x:c r="AM26" s="22">
        <x:f t="shared" si="0"/>
        <x:v>0</x:v>
      </x:c>
      <x:c r="AN26" s="22">
        <x:f t="shared" si="0"/>
        <x:v>0</x:v>
      </x:c>
      <x:c r="AO26" s="22">
        <x:f t="shared" si="0"/>
        <x:v>0</x:v>
      </x:c>
      <x:c r="AP26" s="22">
        <x:f t="shared" si="0"/>
        <x:v>0</x:v>
      </x:c>
      <x:c r="AQ26" s="22">
        <x:f t="shared" si="0"/>
        <x:v>0</x:v>
      </x:c>
      <x:c r="AR26" s="22">
        <x:f t="shared" si="0"/>
        <x:v>23.082000000000001</x:v>
      </x:c>
      <x:c r="AS26" s="22"/>
      <x:c r="AT26" s="23"/>
    </x:row>
  </x:sheetData>
  <x:mergeCells>
    <x:mergeCell ref="A26:B26"/>
  </x:mergeCells>
  <x:conditionalFormatting sqref="AT12:AT17 A12:AR17">
    <x:cfRule type="expression" dxfId="7" priority="1">
      <x:formula>#REF!=1</x:formula>
    </x:cfRule>
    <x:cfRule type="expression" dxfId="6" priority="2">
      <x:formula>#REF!=2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4.25"/>
  <x:cols>
    <x:col min="1" max="1" width="5.25" style="1" customWidth="1"/>
    <x:col min="2" max="2" width="13.25" style="1" customWidth="1"/>
    <x:col min="3" max="3" width="7" style="1" customWidth="1"/>
    <x:col min="4" max="4" width="10.5" style="1" customWidth="1"/>
    <x:col min="5" max="6" width="7" style="1" customWidth="1"/>
    <x:col min="7" max="7" width="11.5" style="1" customWidth="1"/>
    <x:col min="8" max="8" width="15.375" style="1" customWidth="1"/>
    <x:col min="9" max="9" width="17.375" style="1" customWidth="1"/>
    <x:col min="10" max="10" width="6.375" style="1" customWidth="1"/>
    <x:col min="11" max="11" width="10.5" style="1" customWidth="1"/>
    <x:col min="12" max="12" width="15.375" style="1" customWidth="1"/>
    <x:col min="13" max="13" width="8.875" style="1" customWidth="1"/>
    <x:col min="14" max="14" width="6.375" style="1" customWidth="1"/>
    <x:col min="15" max="15" width="17.375" style="1" customWidth="1"/>
    <x:col min="16" max="16" width="15.375" style="1" customWidth="1"/>
    <x:col min="17" max="17" width="24.125" style="1" customWidth="1"/>
    <x:col min="18" max="18" width="8.75" style="1" customWidth="1"/>
    <x:col min="19" max="20" width="13.625" style="1" customWidth="1"/>
    <x:col min="21" max="21" width="17.375" style="1" customWidth="1"/>
    <x:col min="22" max="22" width="10.5" style="1" customWidth="1"/>
    <x:col min="23" max="23" width="17.375" style="1" customWidth="1"/>
    <x:col min="24" max="24" width="19.25" style="1" customWidth="1"/>
    <x:col min="25" max="25" width="10.5" style="1" customWidth="1"/>
    <x:col min="26" max="26" width="12.5" style="1" customWidth="1"/>
    <x:col min="27" max="27" width="7" style="1" customWidth="1"/>
    <x:col min="28" max="30" width="10.5" style="1" customWidth="1"/>
    <x:col min="31" max="31" width="15.375" style="1" customWidth="1"/>
    <x:col min="32" max="32" width="17.375" style="1" customWidth="1"/>
    <x:col min="33" max="33" width="12.5" style="1" customWidth="1"/>
    <x:col min="34" max="35" width="11.625" style="1" customWidth="1"/>
    <x:col min="36" max="36" width="17.375" style="1" customWidth="1"/>
    <x:col min="37" max="37" width="7" style="1" customWidth="1"/>
    <x:col min="38" max="38" width="12.5" style="1" customWidth="1"/>
    <x:col min="39" max="39" width="17.375" style="1" customWidth="1"/>
    <x:col min="40" max="40" width="15.375" style="1" customWidth="1"/>
    <x:col min="41" max="41" width="7" style="1" customWidth="1"/>
    <x:col min="42" max="42" width="14.375" style="1" customWidth="1"/>
    <x:col min="43" max="43" width="10.5" style="1" customWidth="1"/>
    <x:col min="44" max="44" width="18.125" style="1" customWidth="1"/>
    <x:col min="45" max="45" width="16.25" style="1" customWidth="1"/>
    <x:col min="46" max="46" width="27.875" style="1" customWidth="1"/>
    <x:col min="47" max="16384" width="9" style="1" customWidth="0"/>
  </x:cols>
  <x:sheetData>
    <x:row r="1" ht="15">
      <x:c r="A1" s="13" t="s">
        <x:v>220</x:v>
      </x:c>
      <x:c r="B1" s="13" t="s">
        <x:v>221</x:v>
      </x:c>
      <x:c r="C1" s="13" t="s">
        <x:v>46</x:v>
      </x:c>
      <x:c r="D1" s="13" t="s">
        <x:v>52</x:v>
      </x:c>
      <x:c r="E1" s="13" t="s">
        <x:v>55</x:v>
      </x:c>
      <x:c r="F1" s="13" t="s">
        <x:v>59</x:v>
      </x:c>
      <x:c r="G1" s="13" t="s">
        <x:v>64</x:v>
      </x:c>
      <x:c r="H1" s="13" t="s">
        <x:v>68</x:v>
      </x:c>
      <x:c r="I1" s="13" t="s">
        <x:v>72</x:v>
      </x:c>
      <x:c r="J1" s="13" t="s">
        <x:v>76</x:v>
      </x:c>
      <x:c r="K1" s="13" t="s">
        <x:v>81</x:v>
      </x:c>
      <x:c r="L1" s="13" t="s">
        <x:v>86</x:v>
      </x:c>
      <x:c r="M1" s="13" t="s">
        <x:v>91</x:v>
      </x:c>
      <x:c r="N1" s="13" t="s">
        <x:v>96</x:v>
      </x:c>
      <x:c r="O1" s="13" t="s">
        <x:v>100</x:v>
      </x:c>
      <x:c r="P1" s="13" t="s">
        <x:v>105</x:v>
      </x:c>
      <x:c r="Q1" s="13" t="s">
        <x:v>109</x:v>
      </x:c>
      <x:c r="R1" s="13" t="s">
        <x:v>114</x:v>
      </x:c>
      <x:c r="S1" s="13" t="s">
        <x:v>119</x:v>
      </x:c>
      <x:c r="T1" s="13" t="s">
        <x:v>122</x:v>
      </x:c>
      <x:c r="U1" s="13" t="s">
        <x:v>125</x:v>
      </x:c>
      <x:c r="V1" s="13" t="s">
        <x:v>128</x:v>
      </x:c>
      <x:c r="W1" s="13" t="s">
        <x:v>132</x:v>
      </x:c>
      <x:c r="X1" s="13" t="s">
        <x:v>136</x:v>
      </x:c>
      <x:c r="Y1" s="13" t="s">
        <x:v>140</x:v>
      </x:c>
      <x:c r="Z1" s="13" t="s">
        <x:v>143</x:v>
      </x:c>
      <x:c r="AA1" s="13" t="s">
        <x:v>148</x:v>
      </x:c>
      <x:c r="AB1" s="13" t="s">
        <x:v>152</x:v>
      </x:c>
      <x:c r="AC1" s="13" t="s">
        <x:v>156</x:v>
      </x:c>
      <x:c r="AD1" s="13" t="s">
        <x:v>160</x:v>
      </x:c>
      <x:c r="AE1" s="13" t="s">
        <x:v>164</x:v>
      </x:c>
      <x:c r="AF1" s="13" t="s">
        <x:v>168</x:v>
      </x:c>
      <x:c r="AG1" s="13" t="s">
        <x:v>172</x:v>
      </x:c>
      <x:c r="AH1" s="13" t="s">
        <x:v>176</x:v>
      </x:c>
      <x:c r="AI1" s="13" t="s">
        <x:v>181</x:v>
      </x:c>
      <x:c r="AJ1" s="13" t="s">
        <x:v>185</x:v>
      </x:c>
      <x:c r="AK1" s="13" t="s">
        <x:v>190</x:v>
      </x:c>
      <x:c r="AL1" s="13" t="s">
        <x:v>194</x:v>
      </x:c>
      <x:c r="AM1" s="13" t="s">
        <x:v>199</x:v>
      </x:c>
      <x:c r="AN1" s="13" t="s">
        <x:v>202</x:v>
      </x:c>
      <x:c r="AO1" s="13" t="s">
        <x:v>207</x:v>
      </x:c>
      <x:c r="AP1" s="13" t="s">
        <x:v>212</x:v>
      </x:c>
      <x:c r="AQ1" s="13" t="s">
        <x:v>216</x:v>
      </x:c>
      <x:c r="AR1" s="13" t="s">
        <x:v>222</x:v>
      </x:c>
      <x:c r="AS1" s="13" t="s">
        <x:v>223</x:v>
      </x:c>
      <x:c r="AT1" s="13" t="s">
        <x:v>224</x:v>
      </x:c>
    </x:row>
    <x:row r="2" ht="15">
      <x:c r="A2" s="18">
        <x:v>0</x:v>
      </x:c>
      <x:c r="B2" s="19" t="s">
        <x:v>225</x:v>
      </x:c>
      <x:c r="C2" s="20">
        <x:v>4.4999999999999998E-2</x:v>
      </x:c>
      <x:c r="D2" s="20">
        <x:v>2.8000000000000001E-2</x:v>
      </x:c>
      <x:c r="E2" s="20">
        <x:v>0.02</x:v>
      </x:c>
      <x:c r="F2" s="20">
        <x:v>0.02</x:v>
      </x:c>
      <x:c r="G2" s="20">
        <x:v>1.2E-2</x:v>
      </x:c>
      <x:c r="H2" s="20">
        <x:v>8.0000000000000002E-3</x:v>
      </x:c>
      <x:c r="I2" s="20">
        <x:v>0.02</x:v>
      </x:c>
      <x:c r="J2" s="20">
        <x:v>1.4999999999999999E-2</x:v>
      </x:c>
      <x:c r="K2" s="20">
        <x:v>0</x:v>
      </x:c>
      <x:c r="L2" s="20">
        <x:v>0</x:v>
      </x:c>
      <x:c r="M2" s="20">
        <x:v>0</x:v>
      </x:c>
      <x:c r="N2" s="20">
        <x:v>0</x:v>
      </x:c>
      <x:c r="O2" s="20">
        <x:v>0</x:v>
      </x:c>
      <x:c r="P2" s="20">
        <x:v>0</x:v>
      </x:c>
      <x:c r="Q2" s="20">
        <x:v>0</x:v>
      </x:c>
      <x:c r="R2" s="20">
        <x:v>0</x:v>
      </x:c>
      <x:c r="S2" s="20">
        <x:v>0</x:v>
      </x:c>
      <x:c r="T2" s="20">
        <x:v>0</x:v>
      </x:c>
      <x:c r="U2" s="20">
        <x:v>0</x:v>
      </x:c>
      <x:c r="V2" s="20">
        <x:v>0</x:v>
      </x:c>
      <x:c r="W2" s="20">
        <x:v>0</x:v>
      </x:c>
      <x:c r="X2" s="20">
        <x:v>0</x:v>
      </x:c>
      <x:c r="Y2" s="20">
        <x:v>0</x:v>
      </x:c>
      <x:c r="Z2" s="20">
        <x:v>0</x:v>
      </x:c>
      <x:c r="AA2" s="20">
        <x:v>0</x:v>
      </x:c>
      <x:c r="AB2" s="20">
        <x:v>0</x:v>
      </x:c>
      <x:c r="AC2" s="20">
        <x:v>0</x:v>
      </x:c>
      <x:c r="AD2" s="20">
        <x:v>0</x:v>
      </x:c>
      <x:c r="AE2" s="20">
        <x:v>0</x:v>
      </x:c>
      <x:c r="AF2" s="20">
        <x:v>0</x:v>
      </x:c>
      <x:c r="AG2" s="20">
        <x:v>0</x:v>
      </x:c>
      <x:c r="AH2" s="20">
        <x:v>0.3</x:v>
      </x:c>
      <x:c r="AI2" s="20">
        <x:v>0.35</x:v>
      </x:c>
      <x:c r="AJ2" s="20">
        <x:v>0.06</x:v>
      </x:c>
      <x:c r="AK2" s="20">
        <x:v>0</x:v>
      </x:c>
      <x:c r="AL2" s="20">
        <x:v>0</x:v>
      </x:c>
      <x:c r="AM2" s="20">
        <x:v>0</x:v>
      </x:c>
      <x:c r="AN2" s="20">
        <x:v>0</x:v>
      </x:c>
      <x:c r="AO2" s="20">
        <x:v>0</x:v>
      </x:c>
      <x:c r="AP2" s="20">
        <x:v>0</x:v>
      </x:c>
      <x:c r="AQ2" s="20">
        <x:v>0</x:v>
      </x:c>
      <x:c r="AR2" s="20">
        <x:v>0.87799999999999989</x:v>
      </x:c>
      <x:c r="AS2" s="12">
        <x:v>0.87799999999999989</x:v>
      </x:c>
      <x:c r="AT2" s="18" t="s">
        <x:v>280</x:v>
      </x:c>
    </x:row>
    <x:row r="3" ht="15">
      <x:c r="A3" s="18">
        <x:v>1</x:v>
      </x:c>
      <x:c r="B3" s="19" t="s">
        <x:v>227</x:v>
      </x:c>
      <x:c r="C3" s="20">
        <x:v>4.4999999999999998E-2</x:v>
      </x:c>
      <x:c r="D3" s="20">
        <x:v>2.8000000000000001E-2</x:v>
      </x:c>
      <x:c r="E3" s="20">
        <x:v>0.02</x:v>
      </x:c>
      <x:c r="F3" s="20">
        <x:v>0.02</x:v>
      </x:c>
      <x:c r="G3" s="20">
        <x:v>1.2E-2</x:v>
      </x:c>
      <x:c r="H3" s="20">
        <x:v>8.0000000000000002E-3</x:v>
      </x:c>
      <x:c r="I3" s="20">
        <x:v>0.02</x:v>
      </x:c>
      <x:c r="J3" s="20">
        <x:v>1.4999999999999999E-2</x:v>
      </x:c>
      <x:c r="K3" s="20">
        <x:v>0</x:v>
      </x:c>
      <x:c r="L3" s="20">
        <x:v>0</x:v>
      </x:c>
      <x:c r="M3" s="20">
        <x:v>0</x:v>
      </x:c>
      <x:c r="N3" s="20">
        <x:v>0</x:v>
      </x:c>
      <x:c r="O3" s="20">
        <x:v>0</x:v>
      </x:c>
      <x:c r="P3" s="20">
        <x:v>0</x:v>
      </x:c>
      <x:c r="Q3" s="20">
        <x:v>0</x:v>
      </x:c>
      <x:c r="R3" s="20">
        <x:v>0</x:v>
      </x:c>
      <x:c r="S3" s="20">
        <x:v>0</x:v>
      </x:c>
      <x:c r="T3" s="20">
        <x:v>0</x:v>
      </x:c>
      <x:c r="U3" s="20">
        <x:v>0</x:v>
      </x:c>
      <x:c r="V3" s="20">
        <x:v>0</x:v>
      </x:c>
      <x:c r="W3" s="20">
        <x:v>0</x:v>
      </x:c>
      <x:c r="X3" s="20">
        <x:v>0</x:v>
      </x:c>
      <x:c r="Y3" s="20">
        <x:v>0</x:v>
      </x:c>
      <x:c r="Z3" s="20">
        <x:v>0</x:v>
      </x:c>
      <x:c r="AA3" s="20">
        <x:v>0</x:v>
      </x:c>
      <x:c r="AB3" s="20">
        <x:v>0</x:v>
      </x:c>
      <x:c r="AC3" s="20">
        <x:v>0</x:v>
      </x:c>
      <x:c r="AD3" s="20">
        <x:v>0</x:v>
      </x:c>
      <x:c r="AE3" s="20">
        <x:v>0</x:v>
      </x:c>
      <x:c r="AF3" s="20">
        <x:v>0</x:v>
      </x:c>
      <x:c r="AG3" s="20">
        <x:v>0</x:v>
      </x:c>
      <x:c r="AH3" s="20">
        <x:v>0</x:v>
      </x:c>
      <x:c r="AI3" s="20">
        <x:v>0.35</x:v>
      </x:c>
      <x:c r="AJ3" s="20">
        <x:v>0.06</x:v>
      </x:c>
      <x:c r="AK3" s="20">
        <x:v>0</x:v>
      </x:c>
      <x:c r="AL3" s="20">
        <x:v>0</x:v>
      </x:c>
      <x:c r="AM3" s="20">
        <x:v>0</x:v>
      </x:c>
      <x:c r="AN3" s="20">
        <x:v>0</x:v>
      </x:c>
      <x:c r="AO3" s="20">
        <x:v>0</x:v>
      </x:c>
      <x:c r="AP3" s="20">
        <x:v>0</x:v>
      </x:c>
      <x:c r="AQ3" s="20">
        <x:v>0</x:v>
      </x:c>
      <x:c r="AR3" s="20">
        <x:v>0.57800000000000007</x:v>
      </x:c>
      <x:c r="AS3" s="12">
        <x:v>1.456</x:v>
      </x:c>
      <x:c r="AT3" s="18" t="s">
        <x:v>281</x:v>
      </x:c>
    </x:row>
    <x:row r="4" ht="15">
      <x:c r="A4" s="18">
        <x:v>2</x:v>
      </x:c>
      <x:c r="B4" s="19" t="s">
        <x:v>228</x:v>
      </x:c>
      <x:c r="C4" s="20">
        <x:v>4.4999999999999998E-2</x:v>
      </x:c>
      <x:c r="D4" s="20">
        <x:v>2.8000000000000001E-2</x:v>
      </x:c>
      <x:c r="E4" s="20">
        <x:v>0.02</x:v>
      </x:c>
      <x:c r="F4" s="20">
        <x:v>0.02</x:v>
      </x:c>
      <x:c r="G4" s="20">
        <x:v>1.2E-2</x:v>
      </x:c>
      <x:c r="H4" s="20">
        <x:v>8.0000000000000002E-3</x:v>
      </x:c>
      <x:c r="I4" s="20">
        <x:v>0.02</x:v>
      </x:c>
      <x:c r="J4" s="20">
        <x:v>1.4999999999999999E-2</x:v>
      </x:c>
      <x:c r="K4" s="20">
        <x:v>0</x:v>
      </x:c>
      <x:c r="L4" s="20">
        <x:v>0</x:v>
      </x:c>
      <x:c r="M4" s="20">
        <x:v>0</x:v>
      </x:c>
      <x:c r="N4" s="20">
        <x:v>0</x:v>
      </x:c>
      <x:c r="O4" s="20">
        <x:v>0</x:v>
      </x:c>
      <x:c r="P4" s="20">
        <x:v>0</x:v>
      </x:c>
      <x:c r="Q4" s="20">
        <x:v>0</x:v>
      </x:c>
      <x:c r="R4" s="20">
        <x:v>0</x:v>
      </x:c>
      <x:c r="S4" s="20">
        <x:v>0</x:v>
      </x:c>
      <x:c r="T4" s="20">
        <x:v>0</x:v>
      </x:c>
      <x:c r="U4" s="20">
        <x:v>0</x:v>
      </x:c>
      <x:c r="V4" s="20">
        <x:v>0</x:v>
      </x:c>
      <x:c r="W4" s="20">
        <x:v>0</x:v>
      </x:c>
      <x:c r="X4" s="20">
        <x:v>0</x:v>
      </x:c>
      <x:c r="Y4" s="20">
        <x:v>0</x:v>
      </x:c>
      <x:c r="Z4" s="20">
        <x:v>0</x:v>
      </x:c>
      <x:c r="AA4" s="20">
        <x:v>0</x:v>
      </x:c>
      <x:c r="AB4" s="20">
        <x:v>0</x:v>
      </x:c>
      <x:c r="AC4" s="20">
        <x:v>0</x:v>
      </x:c>
      <x:c r="AD4" s="20">
        <x:v>0</x:v>
      </x:c>
      <x:c r="AE4" s="20">
        <x:v>0</x:v>
      </x:c>
      <x:c r="AF4" s="20">
        <x:v>0</x:v>
      </x:c>
      <x:c r="AG4" s="20">
        <x:v>0</x:v>
      </x:c>
      <x:c r="AH4" s="20">
        <x:v>0</x:v>
      </x:c>
      <x:c r="AI4" s="20">
        <x:v>0.35</x:v>
      </x:c>
      <x:c r="AJ4" s="20">
        <x:v>0.06</x:v>
      </x:c>
      <x:c r="AK4" s="20">
        <x:v>0</x:v>
      </x:c>
      <x:c r="AL4" s="20">
        <x:v>0</x:v>
      </x:c>
      <x:c r="AM4" s="20">
        <x:v>0</x:v>
      </x:c>
      <x:c r="AN4" s="20">
        <x:v>0</x:v>
      </x:c>
      <x:c r="AO4" s="20">
        <x:v>0</x:v>
      </x:c>
      <x:c r="AP4" s="20">
        <x:v>0</x:v>
      </x:c>
      <x:c r="AQ4" s="20">
        <x:v>0</x:v>
      </x:c>
      <x:c r="AR4" s="20">
        <x:v>0.57800000000000007</x:v>
      </x:c>
      <x:c r="AS4" s="12">
        <x:v>2.0339999999999998</x:v>
      </x:c>
      <x:c r="AT4" s="18" t="s">
        <x:v>281</x:v>
      </x:c>
    </x:row>
    <x:row r="5" ht="15">
      <x:c r="A5" s="18">
        <x:v>3</x:v>
      </x:c>
      <x:c r="B5" s="19" t="s">
        <x:v>229</x:v>
      </x:c>
      <x:c r="C5" s="20">
        <x:v>4.4999999999999998E-2</x:v>
      </x:c>
      <x:c r="D5" s="20">
        <x:v>2.8000000000000001E-2</x:v>
      </x:c>
      <x:c r="E5" s="20">
        <x:v>0.02</x:v>
      </x:c>
      <x:c r="F5" s="20">
        <x:v>0.02</x:v>
      </x:c>
      <x:c r="G5" s="20">
        <x:v>1.2E-2</x:v>
      </x:c>
      <x:c r="H5" s="20">
        <x:v>8.0000000000000002E-3</x:v>
      </x:c>
      <x:c r="I5" s="20">
        <x:v>0.02</x:v>
      </x:c>
      <x:c r="J5" s="20">
        <x:v>1.4999999999999999E-2</x:v>
      </x:c>
      <x:c r="K5" s="20">
        <x:v>0</x:v>
      </x:c>
      <x:c r="L5" s="20">
        <x:v>0</x:v>
      </x:c>
      <x:c r="M5" s="20">
        <x:v>0</x:v>
      </x:c>
      <x:c r="N5" s="20">
        <x:v>0</x:v>
      </x:c>
      <x:c r="O5" s="20">
        <x:v>0</x:v>
      </x:c>
      <x:c r="P5" s="20">
        <x:v>0</x:v>
      </x:c>
      <x:c r="Q5" s="20">
        <x:v>0</x:v>
      </x:c>
      <x:c r="R5" s="20">
        <x:v>0</x:v>
      </x:c>
      <x:c r="S5" s="20">
        <x:v>0</x:v>
      </x:c>
      <x:c r="T5" s="20">
        <x:v>0</x:v>
      </x:c>
      <x:c r="U5" s="20">
        <x:v>0</x:v>
      </x:c>
      <x:c r="V5" s="20">
        <x:v>0</x:v>
      </x:c>
      <x:c r="W5" s="20">
        <x:v>0</x:v>
      </x:c>
      <x:c r="X5" s="20">
        <x:v>0</x:v>
      </x:c>
      <x:c r="Y5" s="20">
        <x:v>0</x:v>
      </x:c>
      <x:c r="Z5" s="20">
        <x:v>0</x:v>
      </x:c>
      <x:c r="AA5" s="20">
        <x:v>0</x:v>
      </x:c>
      <x:c r="AB5" s="20">
        <x:v>0</x:v>
      </x:c>
      <x:c r="AC5" s="20">
        <x:v>0</x:v>
      </x:c>
      <x:c r="AD5" s="20">
        <x:v>0</x:v>
      </x:c>
      <x:c r="AE5" s="20">
        <x:v>0</x:v>
      </x:c>
      <x:c r="AF5" s="20">
        <x:v>0</x:v>
      </x:c>
      <x:c r="AG5" s="20">
        <x:v>0</x:v>
      </x:c>
      <x:c r="AH5" s="20">
        <x:v>0</x:v>
      </x:c>
      <x:c r="AI5" s="20">
        <x:v>0.35</x:v>
      </x:c>
      <x:c r="AJ5" s="20">
        <x:v>0.06</x:v>
      </x:c>
      <x:c r="AK5" s="20">
        <x:v>0</x:v>
      </x:c>
      <x:c r="AL5" s="20">
        <x:v>0</x:v>
      </x:c>
      <x:c r="AM5" s="20">
        <x:v>0</x:v>
      </x:c>
      <x:c r="AN5" s="20">
        <x:v>0</x:v>
      </x:c>
      <x:c r="AO5" s="20">
        <x:v>0</x:v>
      </x:c>
      <x:c r="AP5" s="20">
        <x:v>0</x:v>
      </x:c>
      <x:c r="AQ5" s="20">
        <x:v>0</x:v>
      </x:c>
      <x:c r="AR5" s="20">
        <x:v>0.57800000000000007</x:v>
      </x:c>
      <x:c r="AS5" s="12">
        <x:v>2.6120000000000001</x:v>
      </x:c>
      <x:c r="AT5" s="18" t="s">
        <x:v>281</x:v>
      </x:c>
    </x:row>
    <x:row r="6" ht="15">
      <x:c r="A6" s="18">
        <x:v>4</x:v>
      </x:c>
      <x:c r="B6" s="19" t="s">
        <x:v>230</x:v>
      </x:c>
      <x:c r="C6" s="20">
        <x:v>4.4999999999999998E-2</x:v>
      </x:c>
      <x:c r="D6" s="20">
        <x:v>2.8000000000000001E-2</x:v>
      </x:c>
      <x:c r="E6" s="20">
        <x:v>0.02</x:v>
      </x:c>
      <x:c r="F6" s="20">
        <x:v>0.02</x:v>
      </x:c>
      <x:c r="G6" s="20">
        <x:v>1.2E-2</x:v>
      </x:c>
      <x:c r="H6" s="20">
        <x:v>8.0000000000000002E-3</x:v>
      </x:c>
      <x:c r="I6" s="20">
        <x:v>0.02</x:v>
      </x:c>
      <x:c r="J6" s="20">
        <x:v>1.4999999999999999E-2</x:v>
      </x:c>
      <x:c r="K6" s="20">
        <x:v>0</x:v>
      </x:c>
      <x:c r="L6" s="20">
        <x:v>0</x:v>
      </x:c>
      <x:c r="M6" s="20">
        <x:v>0</x:v>
      </x:c>
      <x:c r="N6" s="20">
        <x:v>0</x:v>
      </x:c>
      <x:c r="O6" s="20">
        <x:v>0</x:v>
      </x:c>
      <x:c r="P6" s="20">
        <x:v>0</x:v>
      </x:c>
      <x:c r="Q6" s="20">
        <x:v>0</x:v>
      </x:c>
      <x:c r="R6" s="20">
        <x:v>0</x:v>
      </x:c>
      <x:c r="S6" s="20">
        <x:v>0</x:v>
      </x:c>
      <x:c r="T6" s="20">
        <x:v>0</x:v>
      </x:c>
      <x:c r="U6" s="20">
        <x:v>0</x:v>
      </x:c>
      <x:c r="V6" s="20">
        <x:v>0</x:v>
      </x:c>
      <x:c r="W6" s="20">
        <x:v>0</x:v>
      </x:c>
      <x:c r="X6" s="20">
        <x:v>0</x:v>
      </x:c>
      <x:c r="Y6" s="20">
        <x:v>0</x:v>
      </x:c>
      <x:c r="Z6" s="20">
        <x:v>0</x:v>
      </x:c>
      <x:c r="AA6" s="20">
        <x:v>0</x:v>
      </x:c>
      <x:c r="AB6" s="20">
        <x:v>0</x:v>
      </x:c>
      <x:c r="AC6" s="20">
        <x:v>0</x:v>
      </x:c>
      <x:c r="AD6" s="20">
        <x:v>0</x:v>
      </x:c>
      <x:c r="AE6" s="20">
        <x:v>0</x:v>
      </x:c>
      <x:c r="AF6" s="20">
        <x:v>0</x:v>
      </x:c>
      <x:c r="AG6" s="20">
        <x:v>0</x:v>
      </x:c>
      <x:c r="AH6" s="20">
        <x:v>0</x:v>
      </x:c>
      <x:c r="AI6" s="20">
        <x:v>0.35</x:v>
      </x:c>
      <x:c r="AJ6" s="20">
        <x:v>0.06</x:v>
      </x:c>
      <x:c r="AK6" s="20">
        <x:v>0</x:v>
      </x:c>
      <x:c r="AL6" s="20">
        <x:v>0</x:v>
      </x:c>
      <x:c r="AM6" s="20">
        <x:v>0</x:v>
      </x:c>
      <x:c r="AN6" s="20">
        <x:v>0</x:v>
      </x:c>
      <x:c r="AO6" s="20">
        <x:v>0</x:v>
      </x:c>
      <x:c r="AP6" s="20">
        <x:v>0</x:v>
      </x:c>
      <x:c r="AQ6" s="20">
        <x:v>0</x:v>
      </x:c>
      <x:c r="AR6" s="20">
        <x:v>0.57800000000000007</x:v>
      </x:c>
      <x:c r="AS6" s="12">
        <x:v>3.1900000000000004</x:v>
      </x:c>
      <x:c r="AT6" s="18" t="s">
        <x:v>281</x:v>
      </x:c>
    </x:row>
    <x:row r="7" ht="15">
      <x:c r="A7" s="18">
        <x:v>5</x:v>
      </x:c>
      <x:c r="B7" s="19" t="s">
        <x:v>231</x:v>
      </x:c>
      <x:c r="C7" s="20">
        <x:v>4.4999999999999998E-2</x:v>
      </x:c>
      <x:c r="D7" s="20">
        <x:v>2.8000000000000001E-2</x:v>
      </x:c>
      <x:c r="E7" s="20">
        <x:v>0.02</x:v>
      </x:c>
      <x:c r="F7" s="20">
        <x:v>0.02</x:v>
      </x:c>
      <x:c r="G7" s="20">
        <x:v>1.2E-2</x:v>
      </x:c>
      <x:c r="H7" s="20">
        <x:v>8.0000000000000002E-3</x:v>
      </x:c>
      <x:c r="I7" s="20">
        <x:v>0.02</x:v>
      </x:c>
      <x:c r="J7" s="20">
        <x:v>1.4999999999999999E-2</x:v>
      </x:c>
      <x:c r="K7" s="20">
        <x:v>0</x:v>
      </x:c>
      <x:c r="L7" s="20">
        <x:v>0</x:v>
      </x:c>
      <x:c r="M7" s="20">
        <x:v>0</x:v>
      </x:c>
      <x:c r="N7" s="20">
        <x:v>0</x:v>
      </x:c>
      <x:c r="O7" s="20">
        <x:v>0</x:v>
      </x:c>
      <x:c r="P7" s="20">
        <x:v>0</x:v>
      </x:c>
      <x:c r="Q7" s="20">
        <x:v>0</x:v>
      </x:c>
      <x:c r="R7" s="20">
        <x:v>0</x:v>
      </x:c>
      <x:c r="S7" s="20">
        <x:v>0</x:v>
      </x:c>
      <x:c r="T7" s="20">
        <x:v>0</x:v>
      </x:c>
      <x:c r="U7" s="20">
        <x:v>0</x:v>
      </x:c>
      <x:c r="V7" s="20">
        <x:v>0</x:v>
      </x:c>
      <x:c r="W7" s="20">
        <x:v>0</x:v>
      </x:c>
      <x:c r="X7" s="20">
        <x:v>0</x:v>
      </x:c>
      <x:c r="Y7" s="20">
        <x:v>0</x:v>
      </x:c>
      <x:c r="Z7" s="20">
        <x:v>0</x:v>
      </x:c>
      <x:c r="AA7" s="20">
        <x:v>0</x:v>
      </x:c>
      <x:c r="AB7" s="20">
        <x:v>0</x:v>
      </x:c>
      <x:c r="AC7" s="20">
        <x:v>0</x:v>
      </x:c>
      <x:c r="AD7" s="20">
        <x:v>0</x:v>
      </x:c>
      <x:c r="AE7" s="20">
        <x:v>0</x:v>
      </x:c>
      <x:c r="AF7" s="20">
        <x:v>0</x:v>
      </x:c>
      <x:c r="AG7" s="20">
        <x:v>0</x:v>
      </x:c>
      <x:c r="AH7" s="20">
        <x:v>0</x:v>
      </x:c>
      <x:c r="AI7" s="20">
        <x:v>0.35</x:v>
      </x:c>
      <x:c r="AJ7" s="20">
        <x:v>0.06</x:v>
      </x:c>
      <x:c r="AK7" s="20">
        <x:v>0</x:v>
      </x:c>
      <x:c r="AL7" s="20">
        <x:v>0</x:v>
      </x:c>
      <x:c r="AM7" s="20">
        <x:v>0</x:v>
      </x:c>
      <x:c r="AN7" s="20">
        <x:v>0</x:v>
      </x:c>
      <x:c r="AO7" s="20">
        <x:v>0</x:v>
      </x:c>
      <x:c r="AP7" s="20">
        <x:v>0</x:v>
      </x:c>
      <x:c r="AQ7" s="20">
        <x:v>0</x:v>
      </x:c>
      <x:c r="AR7" s="20">
        <x:v>0.57800000000000007</x:v>
      </x:c>
      <x:c r="AS7" s="12">
        <x:v>3.7680000000000007</x:v>
      </x:c>
      <x:c r="AT7" s="18" t="s">
        <x:v>281</x:v>
      </x:c>
    </x:row>
    <x:row r="8" ht="15">
      <x:c r="A8" s="18">
        <x:v>6</x:v>
      </x:c>
      <x:c r="B8" s="19" t="s">
        <x:v>232</x:v>
      </x:c>
      <x:c r="C8" s="20">
        <x:v>4.4999999999999998E-2</x:v>
      </x:c>
      <x:c r="D8" s="20">
        <x:v>2.8000000000000001E-2</x:v>
      </x:c>
      <x:c r="E8" s="20">
        <x:v>0.02</x:v>
      </x:c>
      <x:c r="F8" s="20">
        <x:v>4.4999999999999998E-2</x:v>
      </x:c>
      <x:c r="G8" s="20">
        <x:v>1.2E-2</x:v>
      </x:c>
      <x:c r="H8" s="20">
        <x:v>8.0000000000000002E-3</x:v>
      </x:c>
      <x:c r="I8" s="20">
        <x:v>0.02</x:v>
      </x:c>
      <x:c r="J8" s="20">
        <x:v>1.4999999999999999E-2</x:v>
      </x:c>
      <x:c r="K8" s="20">
        <x:v>0</x:v>
      </x:c>
      <x:c r="L8" s="20">
        <x:v>0</x:v>
      </x:c>
      <x:c r="M8" s="20">
        <x:v>0</x:v>
      </x:c>
      <x:c r="N8" s="20">
        <x:v>0</x:v>
      </x:c>
      <x:c r="O8" s="20">
        <x:v>0</x:v>
      </x:c>
      <x:c r="P8" s="20">
        <x:v>0</x:v>
      </x:c>
      <x:c r="Q8" s="20">
        <x:v>0</x:v>
      </x:c>
      <x:c r="R8" s="20">
        <x:v>0</x:v>
      </x:c>
      <x:c r="S8" s="20">
        <x:v>0</x:v>
      </x:c>
      <x:c r="T8" s="20">
        <x:v>0</x:v>
      </x:c>
      <x:c r="U8" s="20">
        <x:v>0</x:v>
      </x:c>
      <x:c r="V8" s="20">
        <x:v>0</x:v>
      </x:c>
      <x:c r="W8" s="20">
        <x:v>0</x:v>
      </x:c>
      <x:c r="X8" s="20">
        <x:v>0</x:v>
      </x:c>
      <x:c r="Y8" s="20">
        <x:v>0</x:v>
      </x:c>
      <x:c r="Z8" s="20">
        <x:v>0</x:v>
      </x:c>
      <x:c r="AA8" s="20">
        <x:v>0</x:v>
      </x:c>
      <x:c r="AB8" s="20">
        <x:v>0</x:v>
      </x:c>
      <x:c r="AC8" s="20">
        <x:v>0</x:v>
      </x:c>
      <x:c r="AD8" s="20">
        <x:v>0</x:v>
      </x:c>
      <x:c r="AE8" s="20">
        <x:v>0</x:v>
      </x:c>
      <x:c r="AF8" s="20">
        <x:v>0</x:v>
      </x:c>
      <x:c r="AG8" s="20">
        <x:v>0</x:v>
      </x:c>
      <x:c r="AH8" s="20">
        <x:v>0</x:v>
      </x:c>
      <x:c r="AI8" s="20">
        <x:v>0.35</x:v>
      </x:c>
      <x:c r="AJ8" s="20">
        <x:v>0.06</x:v>
      </x:c>
      <x:c r="AK8" s="20">
        <x:v>0</x:v>
      </x:c>
      <x:c r="AL8" s="20">
        <x:v>0</x:v>
      </x:c>
      <x:c r="AM8" s="20">
        <x:v>0</x:v>
      </x:c>
      <x:c r="AN8" s="20">
        <x:v>0</x:v>
      </x:c>
      <x:c r="AO8" s="20">
        <x:v>0</x:v>
      </x:c>
      <x:c r="AP8" s="20">
        <x:v>0</x:v>
      </x:c>
      <x:c r="AQ8" s="20">
        <x:v>0</x:v>
      </x:c>
      <x:c r="AR8" s="20">
        <x:v>0.60299999999999998</x:v>
      </x:c>
      <x:c r="AS8" s="12">
        <x:v>4.3710000000000004</x:v>
      </x:c>
      <x:c r="AT8" s="18" t="s">
        <x:v>295</x:v>
      </x:c>
    </x:row>
    <x:row r="9" ht="15">
      <x:c r="A9" s="18">
        <x:v>7</x:v>
      </x:c>
      <x:c r="B9" s="19" t="s">
        <x:v>234</x:v>
      </x:c>
      <x:c r="C9" s="20">
        <x:v>4.4999999999999998E-2</x:v>
      </x:c>
      <x:c r="D9" s="20">
        <x:v>2.8000000000000001E-2</x:v>
      </x:c>
      <x:c r="E9" s="20">
        <x:v>0.02</x:v>
      </x:c>
      <x:c r="F9" s="20">
        <x:v>4.4999999999999998E-2</x:v>
      </x:c>
      <x:c r="G9" s="20">
        <x:v>1.2E-2</x:v>
      </x:c>
      <x:c r="H9" s="20">
        <x:v>8.0000000000000002E-3</x:v>
      </x:c>
      <x:c r="I9" s="20">
        <x:v>0.02</x:v>
      </x:c>
      <x:c r="J9" s="20">
        <x:v>1.4999999999999999E-2</x:v>
      </x:c>
      <x:c r="K9" s="20">
        <x:v>0</x:v>
      </x:c>
      <x:c r="L9" s="20">
        <x:v>0</x:v>
      </x:c>
      <x:c r="M9" s="20">
        <x:v>0</x:v>
      </x:c>
      <x:c r="N9" s="20">
        <x:v>0</x:v>
      </x:c>
      <x:c r="O9" s="20">
        <x:v>0</x:v>
      </x:c>
      <x:c r="P9" s="20">
        <x:v>0</x:v>
      </x:c>
      <x:c r="Q9" s="20">
        <x:v>0</x:v>
      </x:c>
      <x:c r="R9" s="20">
        <x:v>0</x:v>
      </x:c>
      <x:c r="S9" s="20">
        <x:v>0</x:v>
      </x:c>
      <x:c r="T9" s="20">
        <x:v>0</x:v>
      </x:c>
      <x:c r="U9" s="20">
        <x:v>0</x:v>
      </x:c>
      <x:c r="V9" s="20">
        <x:v>0</x:v>
      </x:c>
      <x:c r="W9" s="20">
        <x:v>0</x:v>
      </x:c>
      <x:c r="X9" s="20">
        <x:v>0</x:v>
      </x:c>
      <x:c r="Y9" s="20">
        <x:v>0</x:v>
      </x:c>
      <x:c r="Z9" s="20">
        <x:v>0</x:v>
      </x:c>
      <x:c r="AA9" s="20">
        <x:v>0</x:v>
      </x:c>
      <x:c r="AB9" s="20">
        <x:v>0</x:v>
      </x:c>
      <x:c r="AC9" s="20">
        <x:v>0</x:v>
      </x:c>
      <x:c r="AD9" s="20">
        <x:v>0</x:v>
      </x:c>
      <x:c r="AE9" s="20">
        <x:v>0</x:v>
      </x:c>
      <x:c r="AF9" s="20">
        <x:v>0</x:v>
      </x:c>
      <x:c r="AG9" s="20">
        <x:v>0</x:v>
      </x:c>
      <x:c r="AH9" s="20">
        <x:v>0</x:v>
      </x:c>
      <x:c r="AI9" s="20">
        <x:v>0</x:v>
      </x:c>
      <x:c r="AJ9" s="20">
        <x:v>0</x:v>
      </x:c>
      <x:c r="AK9" s="20">
        <x:v>0</x:v>
      </x:c>
      <x:c r="AL9" s="20">
        <x:v>0</x:v>
      </x:c>
      <x:c r="AM9" s="20">
        <x:v>0</x:v>
      </x:c>
      <x:c r="AN9" s="20">
        <x:v>0</x:v>
      </x:c>
      <x:c r="AO9" s="20">
        <x:v>0</x:v>
      </x:c>
      <x:c r="AP9" s="20">
        <x:v>0</x:v>
      </x:c>
      <x:c r="AQ9" s="20">
        <x:v>0</x:v>
      </x:c>
      <x:c r="AR9" s="20">
        <x:v>0.193</x:v>
      </x:c>
      <x:c r="AS9" s="12">
        <x:v>4.5640000000000001</x:v>
      </x:c>
      <x:c r="AT9" s="18" t="s">
        <x:v>296</x:v>
      </x:c>
    </x:row>
    <x:row r="10" ht="15">
      <x:c r="A10" s="18">
        <x:v>8</x:v>
      </x:c>
      <x:c r="B10" s="19" t="s">
        <x:v>236</x:v>
      </x:c>
      <x:c r="C10" s="20">
        <x:v>4.4999999999999998E-2</x:v>
      </x:c>
      <x:c r="D10" s="20">
        <x:v>2.8000000000000001E-2</x:v>
      </x:c>
      <x:c r="E10" s="20">
        <x:v>0.02</x:v>
      </x:c>
      <x:c r="F10" s="20">
        <x:v>4.4999999999999998E-2</x:v>
      </x:c>
      <x:c r="G10" s="20">
        <x:v>1.2E-2</x:v>
      </x:c>
      <x:c r="H10" s="20">
        <x:v>8.0000000000000002E-3</x:v>
      </x:c>
      <x:c r="I10" s="20">
        <x:v>0.02</x:v>
      </x:c>
      <x:c r="J10" s="20">
        <x:v>1.4999999999999999E-2</x:v>
      </x:c>
      <x:c r="K10" s="20">
        <x:v>0</x:v>
      </x:c>
      <x:c r="L10" s="20">
        <x:v>0.03</x:v>
      </x:c>
      <x:c r="M10" s="20">
        <x:v>0.08</x:v>
      </x:c>
      <x:c r="N10" s="20">
        <x:v>0</x:v>
      </x:c>
      <x:c r="O10" s="20">
        <x:v>0</x:v>
      </x:c>
      <x:c r="P10" s="20">
        <x:v>0</x:v>
      </x:c>
      <x:c r="Q10" s="20">
        <x:v>0</x:v>
      </x:c>
      <x:c r="R10" s="20">
        <x:v>0</x:v>
      </x:c>
      <x:c r="S10" s="20">
        <x:v>0</x:v>
      </x:c>
      <x:c r="T10" s="20">
        <x:v>0</x:v>
      </x:c>
      <x:c r="U10" s="20">
        <x:v>0.25</x:v>
      </x:c>
      <x:c r="V10" s="20">
        <x:v>0.04</x:v>
      </x:c>
      <x:c r="W10" s="20">
        <x:v>0</x:v>
      </x:c>
      <x:c r="X10" s="20">
        <x:v>0.1</x:v>
      </x:c>
      <x:c r="Y10" s="20">
        <x:v>0</x:v>
      </x:c>
      <x:c r="Z10" s="20">
        <x:v>0</x:v>
      </x:c>
      <x:c r="AA10" s="20">
        <x:v>0</x:v>
      </x:c>
      <x:c r="AB10" s="20">
        <x:v>0</x:v>
      </x:c>
      <x:c r="AC10" s="20">
        <x:v>0</x:v>
      </x:c>
      <x:c r="AD10" s="20">
        <x:v>0</x:v>
      </x:c>
      <x:c r="AE10" s="20">
        <x:v>0</x:v>
      </x:c>
      <x:c r="AF10" s="20">
        <x:v>0</x:v>
      </x:c>
      <x:c r="AG10" s="20">
        <x:v>0</x:v>
      </x:c>
      <x:c r="AH10" s="20">
        <x:v>0</x:v>
      </x:c>
      <x:c r="AI10" s="20">
        <x:v>0</x:v>
      </x:c>
      <x:c r="AJ10" s="20">
        <x:v>0</x:v>
      </x:c>
      <x:c r="AK10" s="20">
        <x:v>0</x:v>
      </x:c>
      <x:c r="AL10" s="20">
        <x:v>0</x:v>
      </x:c>
      <x:c r="AM10" s="20">
        <x:v>0</x:v>
      </x:c>
      <x:c r="AN10" s="20">
        <x:v>0</x:v>
      </x:c>
      <x:c r="AO10" s="20">
        <x:v>0</x:v>
      </x:c>
      <x:c r="AP10" s="20">
        <x:v>0</x:v>
      </x:c>
      <x:c r="AQ10" s="20">
        <x:v>0</x:v>
      </x:c>
      <x:c r="AR10" s="20">
        <x:v>0.69299999999999995</x:v>
      </x:c>
      <x:c r="AS10" s="12">
        <x:v>5.2569999999999997</x:v>
      </x:c>
      <x:c r="AT10" s="18" t="s">
        <x:v>297</x:v>
      </x:c>
    </x:row>
    <x:row r="11" ht="15">
      <x:c r="A11" s="18">
        <x:v>9</x:v>
      </x:c>
      <x:c r="B11" s="19" t="s">
        <x:v>238</x:v>
      </x:c>
      <x:c r="C11" s="20">
        <x:v>4.4999999999999998E-2</x:v>
      </x:c>
      <x:c r="D11" s="20">
        <x:v>2.8000000000000001E-2</x:v>
      </x:c>
      <x:c r="E11" s="20">
        <x:v>0.02</x:v>
      </x:c>
      <x:c r="F11" s="20">
        <x:v>4.4999999999999998E-2</x:v>
      </x:c>
      <x:c r="G11" s="20">
        <x:v>1.2E-2</x:v>
      </x:c>
      <x:c r="H11" s="20">
        <x:v>8.0000000000000002E-3</x:v>
      </x:c>
      <x:c r="I11" s="20">
        <x:v>0.02</x:v>
      </x:c>
      <x:c r="J11" s="20">
        <x:v>1.4999999999999999E-2</x:v>
      </x:c>
      <x:c r="K11" s="20">
        <x:v>0</x:v>
      </x:c>
      <x:c r="L11" s="20">
        <x:v>0.03</x:v>
      </x:c>
      <x:c r="M11" s="20">
        <x:v>0.1</x:v>
      </x:c>
      <x:c r="N11" s="20">
        <x:v>0.05</x:v>
      </x:c>
      <x:c r="O11" s="20">
        <x:v>0</x:v>
      </x:c>
      <x:c r="P11" s="20">
        <x:v>0</x:v>
      </x:c>
      <x:c r="Q11" s="20">
        <x:v>0.08</x:v>
      </x:c>
      <x:c r="R11" s="20">
        <x:v>0</x:v>
      </x:c>
      <x:c r="S11" s="20">
        <x:v>0.4</x:v>
      </x:c>
      <x:c r="T11" s="20">
        <x:v>0.03</x:v>
      </x:c>
      <x:c r="U11" s="20">
        <x:v>0.6</x:v>
      </x:c>
      <x:c r="V11" s="20">
        <x:v>0</x:v>
      </x:c>
      <x:c r="W11" s="20">
        <x:v>0</x:v>
      </x:c>
      <x:c r="X11" s="20">
        <x:v>0.12</x:v>
      </x:c>
      <x:c r="Y11" s="20">
        <x:v>0</x:v>
      </x:c>
      <x:c r="Z11" s="20">
        <x:v>0</x:v>
      </x:c>
      <x:c r="AA11" s="20">
        <x:v>0</x:v>
      </x:c>
      <x:c r="AB11" s="20">
        <x:v>0</x:v>
      </x:c>
      <x:c r="AC11" s="20">
        <x:v>0</x:v>
      </x:c>
      <x:c r="AD11" s="20">
        <x:v>0</x:v>
      </x:c>
      <x:c r="AE11" s="20">
        <x:v>0</x:v>
      </x:c>
      <x:c r="AF11" s="20">
        <x:v>0</x:v>
      </x:c>
      <x:c r="AG11" s="20">
        <x:v>0.12</x:v>
      </x:c>
      <x:c r="AH11" s="20">
        <x:v>0</x:v>
      </x:c>
      <x:c r="AI11" s="20">
        <x:v>0</x:v>
      </x:c>
      <x:c r="AJ11" s="20">
        <x:v>0</x:v>
      </x:c>
      <x:c r="AK11" s="20">
        <x:v>0</x:v>
      </x:c>
      <x:c r="AL11" s="20">
        <x:v>0</x:v>
      </x:c>
      <x:c r="AM11" s="20">
        <x:v>0</x:v>
      </x:c>
      <x:c r="AN11" s="20">
        <x:v>0</x:v>
      </x:c>
      <x:c r="AO11" s="20">
        <x:v>0</x:v>
      </x:c>
      <x:c r="AP11" s="20">
        <x:v>0</x:v>
      </x:c>
      <x:c r="AQ11" s="20">
        <x:v>0</x:v>
      </x:c>
      <x:c r="AR11" s="20">
        <x:v>1.7230000000000003</x:v>
      </x:c>
      <x:c r="AS11" s="12">
        <x:v>6.98</x:v>
      </x:c>
      <x:c r="AT11" s="18" t="s">
        <x:v>298</x:v>
      </x:c>
    </x:row>
    <x:row r="12" ht="15">
      <x:c r="A12" s="21">
        <x:v>10</x:v>
      </x:c>
      <x:c r="B12" s="19" t="s">
        <x:v>239</x:v>
      </x:c>
      <x:c r="C12" s="20">
        <x:v>4.4999999999999998E-2</x:v>
      </x:c>
      <x:c r="D12" s="20">
        <x:v>2.8000000000000001E-2</x:v>
      </x:c>
      <x:c r="E12" s="20">
        <x:v>0.02</x:v>
      </x:c>
      <x:c r="F12" s="20">
        <x:v>4.4999999999999998E-2</x:v>
      </x:c>
      <x:c r="G12" s="20">
        <x:v>1.2E-2</x:v>
      </x:c>
      <x:c r="H12" s="20">
        <x:v>8.0000000000000002E-3</x:v>
      </x:c>
      <x:c r="I12" s="20">
        <x:v>0.02</x:v>
      </x:c>
      <x:c r="J12" s="20">
        <x:v>1.4999999999999999E-2</x:v>
      </x:c>
      <x:c r="K12" s="20">
        <x:v>0</x:v>
      </x:c>
      <x:c r="L12" s="20">
        <x:v>0</x:v>
      </x:c>
      <x:c r="M12" s="20">
        <x:v>0</x:v>
      </x:c>
      <x:c r="N12" s="20">
        <x:v>0.08</x:v>
      </x:c>
      <x:c r="O12" s="20">
        <x:v>0.05</x:v>
      </x:c>
      <x:c r="P12" s="20">
        <x:v>0.18</x:v>
      </x:c>
      <x:c r="Q12" s="20">
        <x:v>0.08</x:v>
      </x:c>
      <x:c r="R12" s="20">
        <x:v>0</x:v>
      </x:c>
      <x:c r="S12" s="20">
        <x:v>0</x:v>
      </x:c>
      <x:c r="T12" s="20">
        <x:v>0.03</x:v>
      </x:c>
      <x:c r="U12" s="20">
        <x:v>0</x:v>
      </x:c>
      <x:c r="V12" s="20">
        <x:v>0</x:v>
      </x:c>
      <x:c r="W12" s="20">
        <x:v>0</x:v>
      </x:c>
      <x:c r="X12" s="20">
        <x:v>0</x:v>
      </x:c>
      <x:c r="Y12" s="20">
        <x:v>0</x:v>
      </x:c>
      <x:c r="Z12" s="20">
        <x:v>0</x:v>
      </x:c>
      <x:c r="AA12" s="20">
        <x:v>0.25</x:v>
      </x:c>
      <x:c r="AB12" s="20">
        <x:v>0</x:v>
      </x:c>
      <x:c r="AC12" s="20">
        <x:v>0</x:v>
      </x:c>
      <x:c r="AD12" s="20">
        <x:v>0</x:v>
      </x:c>
      <x:c r="AE12" s="20">
        <x:v>0.1</x:v>
      </x:c>
      <x:c r="AF12" s="20">
        <x:v>0</x:v>
      </x:c>
      <x:c r="AG12" s="20">
        <x:v>0</x:v>
      </x:c>
      <x:c r="AH12" s="20">
        <x:v>0</x:v>
      </x:c>
      <x:c r="AI12" s="20">
        <x:v>0</x:v>
      </x:c>
      <x:c r="AJ12" s="20">
        <x:v>0.06</x:v>
      </x:c>
      <x:c r="AK12" s="20">
        <x:v>0</x:v>
      </x:c>
      <x:c r="AL12" s="20">
        <x:v>0</x:v>
      </x:c>
      <x:c r="AM12" s="20">
        <x:v>0</x:v>
      </x:c>
      <x:c r="AN12" s="20">
        <x:v>0</x:v>
      </x:c>
      <x:c r="AO12" s="20">
        <x:v>0</x:v>
      </x:c>
      <x:c r="AP12" s="20">
        <x:v>0</x:v>
      </x:c>
      <x:c r="AQ12" s="20">
        <x:v>0</x:v>
      </x:c>
      <x:c r="AR12" s="20">
        <x:v>1.0229999999999999</x:v>
      </x:c>
      <x:c r="AS12" s="12">
        <x:v>8.0030000000000001</x:v>
      </x:c>
      <x:c r="AT12" s="21" t="s">
        <x:v>299</x:v>
      </x:c>
    </x:row>
    <x:row r="13" ht="15">
      <x:c r="A13" s="21">
        <x:v>11</x:v>
      </x:c>
      <x:c r="B13" s="19" t="s">
        <x:v>241</x:v>
      </x:c>
      <x:c r="C13" s="20">
        <x:v>4.4999999999999998E-2</x:v>
      </x:c>
      <x:c r="D13" s="20">
        <x:v>2.8000000000000001E-2</x:v>
      </x:c>
      <x:c r="E13" s="20">
        <x:v>0.02</x:v>
      </x:c>
      <x:c r="F13" s="20">
        <x:v>4.4999999999999998E-2</x:v>
      </x:c>
      <x:c r="G13" s="20">
        <x:v>1.2E-2</x:v>
      </x:c>
      <x:c r="H13" s="20">
        <x:v>8.0000000000000002E-3</x:v>
      </x:c>
      <x:c r="I13" s="20">
        <x:v>0.02</x:v>
      </x:c>
      <x:c r="J13" s="20">
        <x:v>1.4999999999999999E-2</x:v>
      </x:c>
      <x:c r="K13" s="20">
        <x:v>0</x:v>
      </x:c>
      <x:c r="L13" s="20">
        <x:v>0</x:v>
      </x:c>
      <x:c r="M13" s="20">
        <x:v>0</x:v>
      </x:c>
      <x:c r="N13" s="20">
        <x:v>0.08</x:v>
      </x:c>
      <x:c r="O13" s="20">
        <x:v>0.05</x:v>
      </x:c>
      <x:c r="P13" s="20">
        <x:v>0.18</x:v>
      </x:c>
      <x:c r="Q13" s="20">
        <x:v>0.08</x:v>
      </x:c>
      <x:c r="R13" s="20">
        <x:v>0</x:v>
      </x:c>
      <x:c r="S13" s="20">
        <x:v>0</x:v>
      </x:c>
      <x:c r="T13" s="20">
        <x:v>0.03</x:v>
      </x:c>
      <x:c r="U13" s="20">
        <x:v>0</x:v>
      </x:c>
      <x:c r="V13" s="20">
        <x:v>0</x:v>
      </x:c>
      <x:c r="W13" s="20">
        <x:v>0</x:v>
      </x:c>
      <x:c r="X13" s="20">
        <x:v>0</x:v>
      </x:c>
      <x:c r="Y13" s="20">
        <x:v>0</x:v>
      </x:c>
      <x:c r="Z13" s="20">
        <x:v>0</x:v>
      </x:c>
      <x:c r="AA13" s="20">
        <x:v>0</x:v>
      </x:c>
      <x:c r="AB13" s="20">
        <x:v>0.7</x:v>
      </x:c>
      <x:c r="AC13" s="20">
        <x:v>0</x:v>
      </x:c>
      <x:c r="AD13" s="20">
        <x:v>0.05</x:v>
      </x:c>
      <x:c r="AE13" s="20">
        <x:v>0</x:v>
      </x:c>
      <x:c r="AF13" s="20">
        <x:v>0</x:v>
      </x:c>
      <x:c r="AG13" s="20">
        <x:v>0</x:v>
      </x:c>
      <x:c r="AH13" s="20">
        <x:v>0.45</x:v>
      </x:c>
      <x:c r="AI13" s="20">
        <x:v>0</x:v>
      </x:c>
      <x:c r="AJ13" s="20">
        <x:v>0.06</x:v>
      </x:c>
      <x:c r="AK13" s="20">
        <x:v>0.2</x:v>
      </x:c>
      <x:c r="AL13" s="20">
        <x:v>0</x:v>
      </x:c>
      <x:c r="AM13" s="20">
        <x:v>0</x:v>
      </x:c>
      <x:c r="AN13" s="20">
        <x:v>0</x:v>
      </x:c>
      <x:c r="AO13" s="20">
        <x:v>0</x:v>
      </x:c>
      <x:c r="AP13" s="20">
        <x:v>0</x:v>
      </x:c>
      <x:c r="AQ13" s="20">
        <x:v>0</x:v>
      </x:c>
      <x:c r="AR13" s="20">
        <x:v>2.073</x:v>
      </x:c>
      <x:c r="AS13" s="12">
        <x:v>10.076000000000001</x:v>
      </x:c>
      <x:c r="AT13" s="21" t="s">
        <x:v>300</x:v>
      </x:c>
    </x:row>
    <x:row r="14" ht="15">
      <x:c r="A14" s="21">
        <x:v>12</x:v>
      </x:c>
      <x:c r="B14" s="19" t="s">
        <x:v>242</x:v>
      </x:c>
      <x:c r="C14" s="20">
        <x:v>4.4999999999999998E-2</x:v>
      </x:c>
      <x:c r="D14" s="20">
        <x:v>2.8000000000000001E-2</x:v>
      </x:c>
      <x:c r="E14" s="20">
        <x:v>0.02</x:v>
      </x:c>
      <x:c r="F14" s="20">
        <x:v>4.4999999999999998E-2</x:v>
      </x:c>
      <x:c r="G14" s="20">
        <x:v>1.2E-2</x:v>
      </x:c>
      <x:c r="H14" s="20">
        <x:v>8.0000000000000002E-3</x:v>
      </x:c>
      <x:c r="I14" s="20">
        <x:v>0.02</x:v>
      </x:c>
      <x:c r="J14" s="20">
        <x:v>1.4999999999999999E-2</x:v>
      </x:c>
      <x:c r="K14" s="20">
        <x:v>0</x:v>
      </x:c>
      <x:c r="L14" s="20">
        <x:v>0.03</x:v>
      </x:c>
      <x:c r="M14" s="20">
        <x:v>0</x:v>
      </x:c>
      <x:c r="N14" s="20">
        <x:v>0.08</x:v>
      </x:c>
      <x:c r="O14" s="20">
        <x:v>0</x:v>
      </x:c>
      <x:c r="P14" s="20">
        <x:v>0.18</x:v>
      </x:c>
      <x:c r="Q14" s="20">
        <x:v>0.08</x:v>
      </x:c>
      <x:c r="R14" s="20">
        <x:v>0</x:v>
      </x:c>
      <x:c r="S14" s="20">
        <x:v>0</x:v>
      </x:c>
      <x:c r="T14" s="20">
        <x:v>0.03</x:v>
      </x:c>
      <x:c r="U14" s="20">
        <x:v>0.7</x:v>
      </x:c>
      <x:c r="V14" s="20">
        <x:v>0.08</x:v>
      </x:c>
      <x:c r="W14" s="20">
        <x:v>0</x:v>
      </x:c>
      <x:c r="X14" s="20">
        <x:v>0</x:v>
      </x:c>
      <x:c r="Y14" s="20">
        <x:v>0</x:v>
      </x:c>
      <x:c r="Z14" s="20">
        <x:v>0</x:v>
      </x:c>
      <x:c r="AA14" s="20">
        <x:v>0</x:v>
      </x:c>
      <x:c r="AB14" s="20">
        <x:v>0.6</x:v>
      </x:c>
      <x:c r="AC14" s="20">
        <x:v>0</x:v>
      </x:c>
      <x:c r="AD14" s="20">
        <x:v>0</x:v>
      </x:c>
      <x:c r="AE14" s="20">
        <x:v>0</x:v>
      </x:c>
      <x:c r="AF14" s="20">
        <x:v>0</x:v>
      </x:c>
      <x:c r="AG14" s="20">
        <x:v>0</x:v>
      </x:c>
      <x:c r="AH14" s="20">
        <x:v>0.8</x:v>
      </x:c>
      <x:c r="AI14" s="20">
        <x:v>0</x:v>
      </x:c>
      <x:c r="AJ14" s="20">
        <x:v>0.06</x:v>
      </x:c>
      <x:c r="AK14" s="20">
        <x:v>0.2</x:v>
      </x:c>
      <x:c r="AL14" s="20">
        <x:v>0</x:v>
      </x:c>
      <x:c r="AM14" s="20">
        <x:v>0</x:v>
      </x:c>
      <x:c r="AN14" s="20">
        <x:v>0</x:v>
      </x:c>
      <x:c r="AO14" s="20">
        <x:v>0</x:v>
      </x:c>
      <x:c r="AP14" s="20">
        <x:v>0</x:v>
      </x:c>
      <x:c r="AQ14" s="20">
        <x:v>0</x:v>
      </x:c>
      <x:c r="AR14" s="20">
        <x:v>3.0329999999999999</x:v>
      </x:c>
      <x:c r="AS14" s="12">
        <x:v>13.109</x:v>
      </x:c>
      <x:c r="AT14" s="21" t="s">
        <x:v>301</x:v>
      </x:c>
    </x:row>
    <x:row r="15" ht="15">
      <x:c r="A15" s="21">
        <x:v>13</x:v>
      </x:c>
      <x:c r="B15" s="19" t="s">
        <x:v>243</x:v>
      </x:c>
      <x:c r="C15" s="20">
        <x:v>4.4999999999999998E-2</x:v>
      </x:c>
      <x:c r="D15" s="20">
        <x:v>2.8000000000000001E-2</x:v>
      </x:c>
      <x:c r="E15" s="20">
        <x:v>0.02</x:v>
      </x:c>
      <x:c r="F15" s="20">
        <x:v>4.4999999999999998E-2</x:v>
      </x:c>
      <x:c r="G15" s="20">
        <x:v>1.2E-2</x:v>
      </x:c>
      <x:c r="H15" s="20">
        <x:v>8.0000000000000002E-3</x:v>
      </x:c>
      <x:c r="I15" s="20">
        <x:v>0.02</x:v>
      </x:c>
      <x:c r="J15" s="20">
        <x:v>1.4999999999999999E-2</x:v>
      </x:c>
      <x:c r="K15" s="20">
        <x:v>0</x:v>
      </x:c>
      <x:c r="L15" s="20">
        <x:v>0.03</x:v>
      </x:c>
      <x:c r="M15" s="20">
        <x:v>0</x:v>
      </x:c>
      <x:c r="N15" s="20">
        <x:v>0.06</x:v>
      </x:c>
      <x:c r="O15" s="20">
        <x:v>0</x:v>
      </x:c>
      <x:c r="P15" s="20">
        <x:v>0.2</x:v>
      </x:c>
      <x:c r="Q15" s="20">
        <x:v>0.08</x:v>
      </x:c>
      <x:c r="R15" s="20">
        <x:v>0</x:v>
      </x:c>
      <x:c r="S15" s="20">
        <x:v>0</x:v>
      </x:c>
      <x:c r="T15" s="20">
        <x:v>0.03</x:v>
      </x:c>
      <x:c r="U15" s="20">
        <x:v>0.3</x:v>
      </x:c>
      <x:c r="V15" s="20">
        <x:v>0</x:v>
      </x:c>
      <x:c r="W15" s="20">
        <x:v>0.4</x:v>
      </x:c>
      <x:c r="X15" s="20">
        <x:v>0</x:v>
      </x:c>
      <x:c r="Y15" s="20">
        <x:v>0.4</x:v>
      </x:c>
      <x:c r="Z15" s="20">
        <x:v>0</x:v>
      </x:c>
      <x:c r="AA15" s="20">
        <x:v>0</x:v>
      </x:c>
      <x:c r="AB15" s="20">
        <x:v>0</x:v>
      </x:c>
      <x:c r="AC15" s="20">
        <x:v>0</x:v>
      </x:c>
      <x:c r="AD15" s="20">
        <x:v>0</x:v>
      </x:c>
      <x:c r="AE15" s="20">
        <x:v>0</x:v>
      </x:c>
      <x:c r="AF15" s="20">
        <x:v>0</x:v>
      </x:c>
      <x:c r="AG15" s="20">
        <x:v>0</x:v>
      </x:c>
      <x:c r="AH15" s="20">
        <x:v>0.8</x:v>
      </x:c>
      <x:c r="AI15" s="20">
        <x:v>0</x:v>
      </x:c>
      <x:c r="AJ15" s="20">
        <x:v>0.06</x:v>
      </x:c>
      <x:c r="AK15" s="20">
        <x:v>0.2</x:v>
      </x:c>
      <x:c r="AL15" s="20">
        <x:v>0</x:v>
      </x:c>
      <x:c r="AM15" s="20">
        <x:v>0</x:v>
      </x:c>
      <x:c r="AN15" s="20">
        <x:v>0</x:v>
      </x:c>
      <x:c r="AO15" s="20">
        <x:v>0</x:v>
      </x:c>
      <x:c r="AP15" s="20">
        <x:v>0</x:v>
      </x:c>
      <x:c r="AQ15" s="20">
        <x:v>0</x:v>
      </x:c>
      <x:c r="AR15" s="20">
        <x:v>2.7530000000000006</x:v>
      </x:c>
      <x:c r="AS15" s="12">
        <x:v>15.862</x:v>
      </x:c>
      <x:c r="AT15" s="21" t="s">
        <x:v>302</x:v>
      </x:c>
    </x:row>
    <x:row r="16" ht="15">
      <x:c r="A16" s="21">
        <x:v>14</x:v>
      </x:c>
      <x:c r="B16" s="19" t="s">
        <x:v>244</x:v>
      </x:c>
      <x:c r="C16" s="20">
        <x:v>4.4999999999999998E-2</x:v>
      </x:c>
      <x:c r="D16" s="20">
        <x:v>2.8000000000000001E-2</x:v>
      </x:c>
      <x:c r="E16" s="20">
        <x:v>0.02</x:v>
      </x:c>
      <x:c r="F16" s="20">
        <x:v>4.4999999999999998E-2</x:v>
      </x:c>
      <x:c r="G16" s="20">
        <x:v>1.2E-2</x:v>
      </x:c>
      <x:c r="H16" s="20">
        <x:v>8.0000000000000002E-3</x:v>
      </x:c>
      <x:c r="I16" s="20">
        <x:v>0.02</x:v>
      </x:c>
      <x:c r="J16" s="20">
        <x:v>1.4999999999999999E-2</x:v>
      </x:c>
      <x:c r="K16" s="20">
        <x:v>0</x:v>
      </x:c>
      <x:c r="L16" s="20">
        <x:v>0</x:v>
      </x:c>
      <x:c r="M16" s="20">
        <x:v>0</x:v>
      </x:c>
      <x:c r="N16" s="20">
        <x:v>0.06</x:v>
      </x:c>
      <x:c r="O16" s="20">
        <x:v>0</x:v>
      </x:c>
      <x:c r="P16" s="20">
        <x:v>0.2</x:v>
      </x:c>
      <x:c r="Q16" s="20">
        <x:v>0.08</x:v>
      </x:c>
      <x:c r="R16" s="20">
        <x:v>0</x:v>
      </x:c>
      <x:c r="S16" s="20">
        <x:v>0</x:v>
      </x:c>
      <x:c r="T16" s="20">
        <x:v>0.03</x:v>
      </x:c>
      <x:c r="U16" s="20">
        <x:v>0</x:v>
      </x:c>
      <x:c r="V16" s="20">
        <x:v>0</x:v>
      </x:c>
      <x:c r="W16" s="20">
        <x:v>0</x:v>
      </x:c>
      <x:c r="X16" s="20">
        <x:v>0</x:v>
      </x:c>
      <x:c r="Y16" s="20">
        <x:v>0</x:v>
      </x:c>
      <x:c r="Z16" s="20">
        <x:v>0</x:v>
      </x:c>
      <x:c r="AA16" s="20">
        <x:v>0</x:v>
      </x:c>
      <x:c r="AB16" s="20">
        <x:v>0</x:v>
      </x:c>
      <x:c r="AC16" s="20">
        <x:v>0</x:v>
      </x:c>
      <x:c r="AD16" s="20">
        <x:v>0</x:v>
      </x:c>
      <x:c r="AE16" s="20">
        <x:v>0</x:v>
      </x:c>
      <x:c r="AF16" s="20">
        <x:v>0</x:v>
      </x:c>
      <x:c r="AG16" s="20">
        <x:v>0</x:v>
      </x:c>
      <x:c r="AH16" s="20">
        <x:v>0.8</x:v>
      </x:c>
      <x:c r="AI16" s="20">
        <x:v>0</x:v>
      </x:c>
      <x:c r="AJ16" s="20">
        <x:v>0.06</x:v>
      </x:c>
      <x:c r="AK16" s="20">
        <x:v>0.2</x:v>
      </x:c>
      <x:c r="AL16" s="20">
        <x:v>0</x:v>
      </x:c>
      <x:c r="AM16" s="20">
        <x:v>0</x:v>
      </x:c>
      <x:c r="AN16" s="20">
        <x:v>0</x:v>
      </x:c>
      <x:c r="AO16" s="20">
        <x:v>0</x:v>
      </x:c>
      <x:c r="AP16" s="20">
        <x:v>0</x:v>
      </x:c>
      <x:c r="AQ16" s="20">
        <x:v>0</x:v>
      </x:c>
      <x:c r="AR16" s="20">
        <x:v>1.623</x:v>
      </x:c>
      <x:c r="AS16" s="12">
        <x:v>17.484999999999999</x:v>
      </x:c>
      <x:c r="AT16" s="21" t="s">
        <x:v>303</x:v>
      </x:c>
    </x:row>
    <x:row r="17" ht="15">
      <x:c r="A17" s="21">
        <x:v>15</x:v>
      </x:c>
      <x:c r="B17" s="19" t="s">
        <x:v>245</x:v>
      </x:c>
      <x:c r="C17" s="20">
        <x:v>4.4999999999999998E-2</x:v>
      </x:c>
      <x:c r="D17" s="20">
        <x:v>2.8000000000000001E-2</x:v>
      </x:c>
      <x:c r="E17" s="20">
        <x:v>0.02</x:v>
      </x:c>
      <x:c r="F17" s="20">
        <x:v>4.4999999999999998E-2</x:v>
      </x:c>
      <x:c r="G17" s="20">
        <x:v>1.2E-2</x:v>
      </x:c>
      <x:c r="H17" s="20">
        <x:v>8.0000000000000002E-3</x:v>
      </x:c>
      <x:c r="I17" s="20">
        <x:v>0.02</x:v>
      </x:c>
      <x:c r="J17" s="20">
        <x:v>1.4999999999999999E-2</x:v>
      </x:c>
      <x:c r="K17" s="20">
        <x:v>0</x:v>
      </x:c>
      <x:c r="L17" s="20">
        <x:v>0</x:v>
      </x:c>
      <x:c r="M17" s="20">
        <x:v>0</x:v>
      </x:c>
      <x:c r="N17" s="20">
        <x:v>0.06</x:v>
      </x:c>
      <x:c r="O17" s="20">
        <x:v>0</x:v>
      </x:c>
      <x:c r="P17" s="20">
        <x:v>0.2</x:v>
      </x:c>
      <x:c r="Q17" s="20">
        <x:v>0.08</x:v>
      </x:c>
      <x:c r="R17" s="20">
        <x:v>0.1</x:v>
      </x:c>
      <x:c r="S17" s="20">
        <x:v>0</x:v>
      </x:c>
      <x:c r="T17" s="20">
        <x:v>0.03</x:v>
      </x:c>
      <x:c r="U17" s="20">
        <x:v>0</x:v>
      </x:c>
      <x:c r="V17" s="20">
        <x:v>0</x:v>
      </x:c>
      <x:c r="W17" s="20">
        <x:v>0</x:v>
      </x:c>
      <x:c r="X17" s="20">
        <x:v>0.05</x:v>
      </x:c>
      <x:c r="Y17" s="20">
        <x:v>0</x:v>
      </x:c>
      <x:c r="Z17" s="20">
        <x:v>0</x:v>
      </x:c>
      <x:c r="AA17" s="20">
        <x:v>0.2</x:v>
      </x:c>
      <x:c r="AB17" s="20">
        <x:v>0</x:v>
      </x:c>
      <x:c r="AC17" s="20">
        <x:v>0</x:v>
      </x:c>
      <x:c r="AD17" s="20">
        <x:v>0</x:v>
      </x:c>
      <x:c r="AE17" s="20">
        <x:v>0</x:v>
      </x:c>
      <x:c r="AF17" s="20">
        <x:v>0</x:v>
      </x:c>
      <x:c r="AG17" s="20">
        <x:v>0</x:v>
      </x:c>
      <x:c r="AH17" s="20">
        <x:v>0.8</x:v>
      </x:c>
      <x:c r="AI17" s="20">
        <x:v>0</x:v>
      </x:c>
      <x:c r="AJ17" s="20">
        <x:v>0.06</x:v>
      </x:c>
      <x:c r="AK17" s="20">
        <x:v>0</x:v>
      </x:c>
      <x:c r="AL17" s="20">
        <x:v>0</x:v>
      </x:c>
      <x:c r="AM17" s="20">
        <x:v>0</x:v>
      </x:c>
      <x:c r="AN17" s="20">
        <x:v>0</x:v>
      </x:c>
      <x:c r="AO17" s="20">
        <x:v>0</x:v>
      </x:c>
      <x:c r="AP17" s="20">
        <x:v>0</x:v>
      </x:c>
      <x:c r="AQ17" s="20">
        <x:v>0</x:v>
      </x:c>
      <x:c r="AR17" s="20">
        <x:v>1.7730000000000001</x:v>
      </x:c>
      <x:c r="AS17" s="12">
        <x:v>19.257999999999999</x:v>
      </x:c>
      <x:c r="AT17" s="21" t="s">
        <x:v>304</x:v>
      </x:c>
    </x:row>
    <x:row r="18" ht="15">
      <x:c r="A18" s="18">
        <x:v>16</x:v>
      </x:c>
      <x:c r="B18" s="19" t="s">
        <x:v>246</x:v>
      </x:c>
      <x:c r="C18" s="20">
        <x:v>4.4999999999999998E-2</x:v>
      </x:c>
      <x:c r="D18" s="20">
        <x:v>2.8000000000000001E-2</x:v>
      </x:c>
      <x:c r="E18" s="20">
        <x:v>0.02</x:v>
      </x:c>
      <x:c r="F18" s="20">
        <x:v>4.4999999999999998E-2</x:v>
      </x:c>
      <x:c r="G18" s="20">
        <x:v>1.2E-2</x:v>
      </x:c>
      <x:c r="H18" s="20">
        <x:v>8.0000000000000002E-3</x:v>
      </x:c>
      <x:c r="I18" s="20">
        <x:v>0.02</x:v>
      </x:c>
      <x:c r="J18" s="20">
        <x:v>1.4999999999999999E-2</x:v>
      </x:c>
      <x:c r="K18" s="20">
        <x:v>0</x:v>
      </x:c>
      <x:c r="L18" s="20">
        <x:v>0</x:v>
      </x:c>
      <x:c r="M18" s="20">
        <x:v>0</x:v>
      </x:c>
      <x:c r="N18" s="20">
        <x:v>0.06</x:v>
      </x:c>
      <x:c r="O18" s="20">
        <x:v>0</x:v>
      </x:c>
      <x:c r="P18" s="20">
        <x:v>0.2</x:v>
      </x:c>
      <x:c r="Q18" s="20">
        <x:v>0.08</x:v>
      </x:c>
      <x:c r="R18" s="20">
        <x:v>0.1</x:v>
      </x:c>
      <x:c r="S18" s="20">
        <x:v>0</x:v>
      </x:c>
      <x:c r="T18" s="20">
        <x:v>0.03</x:v>
      </x:c>
      <x:c r="U18" s="20">
        <x:v>0</x:v>
      </x:c>
      <x:c r="V18" s="20">
        <x:v>0</x:v>
      </x:c>
      <x:c r="W18" s="20">
        <x:v>0</x:v>
      </x:c>
      <x:c r="X18" s="20">
        <x:v>0</x:v>
      </x:c>
      <x:c r="Y18" s="20">
        <x:v>0</x:v>
      </x:c>
      <x:c r="Z18" s="20">
        <x:v>0</x:v>
      </x:c>
      <x:c r="AA18" s="20">
        <x:v>0</x:v>
      </x:c>
      <x:c r="AB18" s="20">
        <x:v>0.7</x:v>
      </x:c>
      <x:c r="AC18" s="20">
        <x:v>0</x:v>
      </x:c>
      <x:c r="AD18" s="20">
        <x:v>0</x:v>
      </x:c>
      <x:c r="AE18" s="20">
        <x:v>0</x:v>
      </x:c>
      <x:c r="AF18" s="20">
        <x:v>0</x:v>
      </x:c>
      <x:c r="AG18" s="20">
        <x:v>0</x:v>
      </x:c>
      <x:c r="AH18" s="20">
        <x:v>0.8</x:v>
      </x:c>
      <x:c r="AI18" s="20">
        <x:v>0</x:v>
      </x:c>
      <x:c r="AJ18" s="20">
        <x:v>0.06</x:v>
      </x:c>
      <x:c r="AK18" s="20">
        <x:v>0</x:v>
      </x:c>
      <x:c r="AL18" s="20">
        <x:v>0</x:v>
      </x:c>
      <x:c r="AM18" s="20">
        <x:v>0</x:v>
      </x:c>
      <x:c r="AN18" s="20">
        <x:v>0</x:v>
      </x:c>
      <x:c r="AO18" s="20">
        <x:v>0</x:v>
      </x:c>
      <x:c r="AP18" s="20">
        <x:v>0</x:v>
      </x:c>
      <x:c r="AQ18" s="20">
        <x:v>0</x:v>
      </x:c>
      <x:c r="AR18" s="20">
        <x:v>2.2230000000000003</x:v>
      </x:c>
      <x:c r="AS18" s="12">
        <x:v>21.480999999999998</x:v>
      </x:c>
      <x:c r="AT18" s="18" t="s">
        <x:v>305</x:v>
      </x:c>
    </x:row>
    <x:row r="19" ht="15">
      <x:c r="A19" s="18">
        <x:v>17</x:v>
      </x:c>
      <x:c r="B19" s="19" t="s">
        <x:v>248</x:v>
      </x:c>
      <x:c r="C19" s="20">
        <x:v>4.4999999999999998E-2</x:v>
      </x:c>
      <x:c r="D19" s="20">
        <x:v>2.8000000000000001E-2</x:v>
      </x:c>
      <x:c r="E19" s="20">
        <x:v>0.02</x:v>
      </x:c>
      <x:c r="F19" s="20">
        <x:v>4.4999999999999998E-2</x:v>
      </x:c>
      <x:c r="G19" s="20">
        <x:v>1.2E-2</x:v>
      </x:c>
      <x:c r="H19" s="20">
        <x:v>8.0000000000000002E-3</x:v>
      </x:c>
      <x:c r="I19" s="20">
        <x:v>0.02</x:v>
      </x:c>
      <x:c r="J19" s="20">
        <x:v>1.4999999999999999E-2</x:v>
      </x:c>
      <x:c r="K19" s="20">
        <x:v>0</x:v>
      </x:c>
      <x:c r="L19" s="20">
        <x:v>0</x:v>
      </x:c>
      <x:c r="M19" s="20">
        <x:v>0</x:v>
      </x:c>
      <x:c r="N19" s="20">
        <x:v>0.06</x:v>
      </x:c>
      <x:c r="O19" s="20">
        <x:v>0</x:v>
      </x:c>
      <x:c r="P19" s="20">
        <x:v>0.2</x:v>
      </x:c>
      <x:c r="Q19" s="20">
        <x:v>0.08</x:v>
      </x:c>
      <x:c r="R19" s="20">
        <x:v>0.1</x:v>
      </x:c>
      <x:c r="S19" s="20">
        <x:v>0</x:v>
      </x:c>
      <x:c r="T19" s="20">
        <x:v>0.03</x:v>
      </x:c>
      <x:c r="U19" s="20">
        <x:v>0</x:v>
      </x:c>
      <x:c r="V19" s="20">
        <x:v>0</x:v>
      </x:c>
      <x:c r="W19" s="20">
        <x:v>0</x:v>
      </x:c>
      <x:c r="X19" s="20">
        <x:v>0</x:v>
      </x:c>
      <x:c r="Y19" s="20">
        <x:v>0</x:v>
      </x:c>
      <x:c r="Z19" s="20">
        <x:v>0</x:v>
      </x:c>
      <x:c r="AA19" s="20">
        <x:v>0</x:v>
      </x:c>
      <x:c r="AB19" s="20">
        <x:v>0.6</x:v>
      </x:c>
      <x:c r="AC19" s="20">
        <x:v>0</x:v>
      </x:c>
      <x:c r="AD19" s="20">
        <x:v>0</x:v>
      </x:c>
      <x:c r="AE19" s="20">
        <x:v>0</x:v>
      </x:c>
      <x:c r="AF19" s="20">
        <x:v>0.2</x:v>
      </x:c>
      <x:c r="AG19" s="20">
        <x:v>0</x:v>
      </x:c>
      <x:c r="AH19" s="20">
        <x:v>0.8</x:v>
      </x:c>
      <x:c r="AI19" s="20">
        <x:v>0</x:v>
      </x:c>
      <x:c r="AJ19" s="20">
        <x:v>0.06</x:v>
      </x:c>
      <x:c r="AK19" s="20">
        <x:v>0</x:v>
      </x:c>
      <x:c r="AL19" s="20">
        <x:v>0</x:v>
      </x:c>
      <x:c r="AM19" s="20">
        <x:v>0</x:v>
      </x:c>
      <x:c r="AN19" s="20">
        <x:v>0</x:v>
      </x:c>
      <x:c r="AO19" s="20">
        <x:v>0</x:v>
      </x:c>
      <x:c r="AP19" s="20">
        <x:v>0</x:v>
      </x:c>
      <x:c r="AQ19" s="20">
        <x:v>0</x:v>
      </x:c>
      <x:c r="AR19" s="20">
        <x:v>2.323</x:v>
      </x:c>
      <x:c r="AS19" s="12">
        <x:v>23.803999999999998</x:v>
      </x:c>
      <x:c r="AT19" s="18" t="s">
        <x:v>306</x:v>
      </x:c>
    </x:row>
    <x:row r="20" ht="15">
      <x:c r="A20" s="18">
        <x:v>18</x:v>
      </x:c>
      <x:c r="B20" s="19" t="s">
        <x:v>250</x:v>
      </x:c>
      <x:c r="C20" s="20">
        <x:v>4.4999999999999998E-2</x:v>
      </x:c>
      <x:c r="D20" s="20">
        <x:v>2.8000000000000001E-2</x:v>
      </x:c>
      <x:c r="E20" s="20">
        <x:v>0.02</x:v>
      </x:c>
      <x:c r="F20" s="20">
        <x:v>4.4999999999999998E-2</x:v>
      </x:c>
      <x:c r="G20" s="20">
        <x:v>1.2E-2</x:v>
      </x:c>
      <x:c r="H20" s="20">
        <x:v>8.0000000000000002E-3</x:v>
      </x:c>
      <x:c r="I20" s="20">
        <x:v>0.02</x:v>
      </x:c>
      <x:c r="J20" s="20">
        <x:v>1.4999999999999999E-2</x:v>
      </x:c>
      <x:c r="K20" s="20">
        <x:v>1.4999999999999999E-2</x:v>
      </x:c>
      <x:c r="L20" s="20">
        <x:v>0.04</x:v>
      </x:c>
      <x:c r="M20" s="20">
        <x:v>0.14000000000000001</x:v>
      </x:c>
      <x:c r="N20" s="20">
        <x:v>0.1</x:v>
      </x:c>
      <x:c r="O20" s="20">
        <x:v>0.05</x:v>
      </x:c>
      <x:c r="P20" s="20">
        <x:v>0.18</x:v>
      </x:c>
      <x:c r="Q20" s="20">
        <x:v>0.08</x:v>
      </x:c>
      <x:c r="R20" s="20">
        <x:v>0.08</x:v>
      </x:c>
      <x:c r="S20" s="20">
        <x:v>0.4</x:v>
      </x:c>
      <x:c r="T20" s="20">
        <x:v>0.03</x:v>
      </x:c>
      <x:c r="U20" s="20">
        <x:v>1</x:v>
      </x:c>
      <x:c r="V20" s="20">
        <x:v>0.08</x:v>
      </x:c>
      <x:c r="W20" s="20">
        <x:v>0.5</x:v>
      </x:c>
      <x:c r="X20" s="20">
        <x:v>0.05</x:v>
      </x:c>
      <x:c r="Y20" s="20">
        <x:v>0</x:v>
      </x:c>
      <x:c r="Z20" s="20">
        <x:v>0</x:v>
      </x:c>
      <x:c r="AA20" s="20">
        <x:v>0</x:v>
      </x:c>
      <x:c r="AB20" s="20">
        <x:v>0</x:v>
      </x:c>
      <x:c r="AC20" s="20">
        <x:v>0</x:v>
      </x:c>
      <x:c r="AD20" s="20">
        <x:v>0</x:v>
      </x:c>
      <x:c r="AE20" s="20">
        <x:v>0</x:v>
      </x:c>
      <x:c r="AF20" s="20">
        <x:v>0</x:v>
      </x:c>
      <x:c r="AG20" s="20">
        <x:v>0</x:v>
      </x:c>
      <x:c r="AH20" s="20">
        <x:v>0.9</x:v>
      </x:c>
      <x:c r="AI20" s="20">
        <x:v>0</x:v>
      </x:c>
      <x:c r="AJ20" s="20">
        <x:v>0.06</x:v>
      </x:c>
      <x:c r="AK20" s="20">
        <x:v>0.12</x:v>
      </x:c>
      <x:c r="AL20" s="20">
        <x:v>0</x:v>
      </x:c>
      <x:c r="AM20" s="20">
        <x:v>0</x:v>
      </x:c>
      <x:c r="AN20" s="20">
        <x:v>0</x:v>
      </x:c>
      <x:c r="AO20" s="20">
        <x:v>0</x:v>
      </x:c>
      <x:c r="AP20" s="20">
        <x:v>0</x:v>
      </x:c>
      <x:c r="AQ20" s="20">
        <x:v>0</x:v>
      </x:c>
      <x:c r="AR20" s="20">
        <x:v>4.0179999999999998</x:v>
      </x:c>
      <x:c r="AS20" s="12">
        <x:v>27.821999999999999</x:v>
      </x:c>
      <x:c r="AT20" s="18" t="s">
        <x:v>307</x:v>
      </x:c>
    </x:row>
    <x:row r="21" ht="15">
      <x:c r="A21" s="18">
        <x:v>19</x:v>
      </x:c>
      <x:c r="B21" s="19" t="s">
        <x:v>252</x:v>
      </x:c>
      <x:c r="C21" s="20">
        <x:v>4.4999999999999998E-2</x:v>
      </x:c>
      <x:c r="D21" s="20">
        <x:v>2.8000000000000001E-2</x:v>
      </x:c>
      <x:c r="E21" s="20">
        <x:v>0.02</x:v>
      </x:c>
      <x:c r="F21" s="20">
        <x:v>4.4999999999999998E-2</x:v>
      </x:c>
      <x:c r="G21" s="20">
        <x:v>1.2E-2</x:v>
      </x:c>
      <x:c r="H21" s="20">
        <x:v>8.0000000000000002E-3</x:v>
      </x:c>
      <x:c r="I21" s="20">
        <x:v>0.02</x:v>
      </x:c>
      <x:c r="J21" s="20">
        <x:v>1.4999999999999999E-2</x:v>
      </x:c>
      <x:c r="K21" s="20">
        <x:v>1.4999999999999999E-2</x:v>
      </x:c>
      <x:c r="L21" s="20">
        <x:v>0.04</x:v>
      </x:c>
      <x:c r="M21" s="20">
        <x:v>0.2</x:v>
      </x:c>
      <x:c r="N21" s="20">
        <x:v>0.1</x:v>
      </x:c>
      <x:c r="O21" s="20">
        <x:v>0.05</x:v>
      </x:c>
      <x:c r="P21" s="20">
        <x:v>0.18</x:v>
      </x:c>
      <x:c r="Q21" s="20">
        <x:v>0.08</x:v>
      </x:c>
      <x:c r="R21" s="20">
        <x:v>0.08</x:v>
      </x:c>
      <x:c r="S21" s="20">
        <x:v>0</x:v>
      </x:c>
      <x:c r="T21" s="20">
        <x:v>0.03</x:v>
      </x:c>
      <x:c r="U21" s="20">
        <x:v>0.8</x:v>
      </x:c>
      <x:c r="V21" s="20">
        <x:v>0.05</x:v>
      </x:c>
      <x:c r="W21" s="20">
        <x:v>0.4</x:v>
      </x:c>
      <x:c r="X21" s="20">
        <x:v>0</x:v>
      </x:c>
      <x:c r="Y21" s="20">
        <x:v>0</x:v>
      </x:c>
      <x:c r="Z21" s="20">
        <x:v>0</x:v>
      </x:c>
      <x:c r="AA21" s="20">
        <x:v>0</x:v>
      </x:c>
      <x:c r="AB21" s="20">
        <x:v>0</x:v>
      </x:c>
      <x:c r="AC21" s="20">
        <x:v>0</x:v>
      </x:c>
      <x:c r="AD21" s="20">
        <x:v>0</x:v>
      </x:c>
      <x:c r="AE21" s="20">
        <x:v>0</x:v>
      </x:c>
      <x:c r="AF21" s="20">
        <x:v>0</x:v>
      </x:c>
      <x:c r="AG21" s="20">
        <x:v>0</x:v>
      </x:c>
      <x:c r="AH21" s="20">
        <x:v>0.9</x:v>
      </x:c>
      <x:c r="AI21" s="20">
        <x:v>0</x:v>
      </x:c>
      <x:c r="AJ21" s="20">
        <x:v>0.06</x:v>
      </x:c>
      <x:c r="AK21" s="20">
        <x:v>0</x:v>
      </x:c>
      <x:c r="AL21" s="20">
        <x:v>0</x:v>
      </x:c>
      <x:c r="AM21" s="20">
        <x:v>0</x:v>
      </x:c>
      <x:c r="AN21" s="20">
        <x:v>0</x:v>
      </x:c>
      <x:c r="AO21" s="20">
        <x:v>0</x:v>
      </x:c>
      <x:c r="AP21" s="20">
        <x:v>0</x:v>
      </x:c>
      <x:c r="AQ21" s="20">
        <x:v>0</x:v>
      </x:c>
      <x:c r="AR21" s="20">
        <x:v>3.1779999999999999</x:v>
      </x:c>
      <x:c r="AS21" s="12">
        <x:v>31</x:v>
      </x:c>
      <x:c r="AT21" s="18" t="s">
        <x:v>308</x:v>
      </x:c>
    </x:row>
    <x:row r="22" ht="15">
      <x:c r="A22" s="18">
        <x:v>20</x:v>
      </x:c>
      <x:c r="B22" s="19" t="s">
        <x:v>254</x:v>
      </x:c>
      <x:c r="C22" s="20">
        <x:v>4.4999999999999998E-2</x:v>
      </x:c>
      <x:c r="D22" s="20">
        <x:v>2.8000000000000001E-2</x:v>
      </x:c>
      <x:c r="E22" s="20">
        <x:v>0.02</x:v>
      </x:c>
      <x:c r="F22" s="20">
        <x:v>4.4999999999999998E-2</x:v>
      </x:c>
      <x:c r="G22" s="20">
        <x:v>1.2E-2</x:v>
      </x:c>
      <x:c r="H22" s="20">
        <x:v>8.0000000000000002E-3</x:v>
      </x:c>
      <x:c r="I22" s="20">
        <x:v>0.02</x:v>
      </x:c>
      <x:c r="J22" s="20">
        <x:v>1.4999999999999999E-2</x:v>
      </x:c>
      <x:c r="K22" s="20">
        <x:v>1.4999999999999999E-2</x:v>
      </x:c>
      <x:c r="L22" s="20">
        <x:v>0</x:v>
      </x:c>
      <x:c r="M22" s="20">
        <x:v>0.2</x:v>
      </x:c>
      <x:c r="N22" s="20">
        <x:v>0.1</x:v>
      </x:c>
      <x:c r="O22" s="20">
        <x:v>0.05</x:v>
      </x:c>
      <x:c r="P22" s="20">
        <x:v>0.18</x:v>
      </x:c>
      <x:c r="Q22" s="20">
        <x:v>0.08</x:v>
      </x:c>
      <x:c r="R22" s="20">
        <x:v>0.08</x:v>
      </x:c>
      <x:c r="S22" s="20">
        <x:v>0</x:v>
      </x:c>
      <x:c r="T22" s="20">
        <x:v>0.03</x:v>
      </x:c>
      <x:c r="U22" s="20">
        <x:v>0</x:v>
      </x:c>
      <x:c r="V22" s="20">
        <x:v>0</x:v>
      </x:c>
      <x:c r="W22" s="20">
        <x:v>0</x:v>
      </x:c>
      <x:c r="X22" s="20">
        <x:v>0.05</x:v>
      </x:c>
      <x:c r="Y22" s="20">
        <x:v>0.7</x:v>
      </x:c>
      <x:c r="Z22" s="20">
        <x:v>0.03</x:v>
      </x:c>
      <x:c r="AA22" s="20">
        <x:v>0</x:v>
      </x:c>
      <x:c r="AB22" s="20">
        <x:v>0</x:v>
      </x:c>
      <x:c r="AC22" s="20">
        <x:v>0</x:v>
      </x:c>
      <x:c r="AD22" s="20">
        <x:v>0</x:v>
      </x:c>
      <x:c r="AE22" s="20">
        <x:v>0</x:v>
      </x:c>
      <x:c r="AF22" s="20">
        <x:v>0</x:v>
      </x:c>
      <x:c r="AG22" s="20">
        <x:v>0</x:v>
      </x:c>
      <x:c r="AH22" s="20">
        <x:v>0.9</x:v>
      </x:c>
      <x:c r="AI22" s="20">
        <x:v>0</x:v>
      </x:c>
      <x:c r="AJ22" s="20">
        <x:v>0.06</x:v>
      </x:c>
      <x:c r="AK22" s="20">
        <x:v>0</x:v>
      </x:c>
      <x:c r="AL22" s="20">
        <x:v>0</x:v>
      </x:c>
      <x:c r="AM22" s="20">
        <x:v>0</x:v>
      </x:c>
      <x:c r="AN22" s="20">
        <x:v>0</x:v>
      </x:c>
      <x:c r="AO22" s="20">
        <x:v>0</x:v>
      </x:c>
      <x:c r="AP22" s="20">
        <x:v>0</x:v>
      </x:c>
      <x:c r="AQ22" s="20">
        <x:v>0</x:v>
      </x:c>
      <x:c r="AR22" s="20">
        <x:v>2.6680000000000001</x:v>
      </x:c>
      <x:c r="AS22" s="12">
        <x:v>33.667999999999999</x:v>
      </x:c>
      <x:c r="AT22" s="18" t="s">
        <x:v>309</x:v>
      </x:c>
    </x:row>
    <x:row r="23" ht="15">
      <x:c r="A23" s="18">
        <x:v>21</x:v>
      </x:c>
      <x:c r="B23" s="19" t="s">
        <x:v>256</x:v>
      </x:c>
      <x:c r="C23" s="20">
        <x:v>4.4999999999999998E-2</x:v>
      </x:c>
      <x:c r="D23" s="20">
        <x:v>2.8000000000000001E-2</x:v>
      </x:c>
      <x:c r="E23" s="20">
        <x:v>0.02</x:v>
      </x:c>
      <x:c r="F23" s="20">
        <x:v>4.4999999999999998E-2</x:v>
      </x:c>
      <x:c r="G23" s="20">
        <x:v>1.2E-2</x:v>
      </x:c>
      <x:c r="H23" s="20">
        <x:v>8.0000000000000002E-3</x:v>
      </x:c>
      <x:c r="I23" s="20">
        <x:v>0.02</x:v>
      </x:c>
      <x:c r="J23" s="20">
        <x:v>1.4999999999999999E-2</x:v>
      </x:c>
      <x:c r="K23" s="20">
        <x:v>1.4999999999999999E-2</x:v>
      </x:c>
      <x:c r="L23" s="20">
        <x:v>0</x:v>
      </x:c>
      <x:c r="M23" s="20">
        <x:v>0.2</x:v>
      </x:c>
      <x:c r="N23" s="20">
        <x:v>0.1</x:v>
      </x:c>
      <x:c r="O23" s="20">
        <x:v>0.05</x:v>
      </x:c>
      <x:c r="P23" s="20">
        <x:v>0.18</x:v>
      </x:c>
      <x:c r="Q23" s="20">
        <x:v>0.08</x:v>
      </x:c>
      <x:c r="R23" s="20">
        <x:v>0.08</x:v>
      </x:c>
      <x:c r="S23" s="20">
        <x:v>0</x:v>
      </x:c>
      <x:c r="T23" s="20">
        <x:v>0.03</x:v>
      </x:c>
      <x:c r="U23" s="20">
        <x:v>0</x:v>
      </x:c>
      <x:c r="V23" s="20">
        <x:v>0</x:v>
      </x:c>
      <x:c r="W23" s="20">
        <x:v>0</x:v>
      </x:c>
      <x:c r="X23" s="20">
        <x:v>0</x:v>
      </x:c>
      <x:c r="Y23" s="20">
        <x:v>0.4</x:v>
      </x:c>
      <x:c r="Z23" s="20">
        <x:v>0</x:v>
      </x:c>
      <x:c r="AA23" s="20">
        <x:v>0</x:v>
      </x:c>
      <x:c r="AB23" s="20">
        <x:v>0</x:v>
      </x:c>
      <x:c r="AC23" s="20">
        <x:v>0.5</x:v>
      </x:c>
      <x:c r="AD23" s="20">
        <x:v>0</x:v>
      </x:c>
      <x:c r="AE23" s="20">
        <x:v>0</x:v>
      </x:c>
      <x:c r="AF23" s="20">
        <x:v>0</x:v>
      </x:c>
      <x:c r="AG23" s="20">
        <x:v>0</x:v>
      </x:c>
      <x:c r="AH23" s="20">
        <x:v>0.9</x:v>
      </x:c>
      <x:c r="AI23" s="20">
        <x:v>0</x:v>
      </x:c>
      <x:c r="AJ23" s="20">
        <x:v>0.06</x:v>
      </x:c>
      <x:c r="AK23" s="20">
        <x:v>0</x:v>
      </x:c>
      <x:c r="AL23" s="20">
        <x:v>0</x:v>
      </x:c>
      <x:c r="AM23" s="20">
        <x:v>0</x:v>
      </x:c>
      <x:c r="AN23" s="20">
        <x:v>0</x:v>
      </x:c>
      <x:c r="AO23" s="20">
        <x:v>0</x:v>
      </x:c>
      <x:c r="AP23" s="20">
        <x:v>0</x:v>
      </x:c>
      <x:c r="AQ23" s="20">
        <x:v>0</x:v>
      </x:c>
      <x:c r="AR23" s="20">
        <x:v>2.7879999999999998</x:v>
      </x:c>
      <x:c r="AS23" s="12">
        <x:v>36.455999999999996</x:v>
      </x:c>
      <x:c r="AT23" s="18" t="s">
        <x:v>310</x:v>
      </x:c>
    </x:row>
    <x:row r="24" ht="15">
      <x:c r="A24" s="18">
        <x:v>22</x:v>
      </x:c>
      <x:c r="B24" s="19" t="s">
        <x:v>258</x:v>
      </x:c>
      <x:c r="C24" s="20">
        <x:v>4.4999999999999998E-2</x:v>
      </x:c>
      <x:c r="D24" s="20">
        <x:v>2.8000000000000001E-2</x:v>
      </x:c>
      <x:c r="E24" s="20">
        <x:v>0.02</x:v>
      </x:c>
      <x:c r="F24" s="20">
        <x:v>4.4999999999999998E-2</x:v>
      </x:c>
      <x:c r="G24" s="20">
        <x:v>1.2E-2</x:v>
      </x:c>
      <x:c r="H24" s="20">
        <x:v>8.0000000000000002E-3</x:v>
      </x:c>
      <x:c r="I24" s="20">
        <x:v>0.02</x:v>
      </x:c>
      <x:c r="J24" s="20">
        <x:v>1.4999999999999999E-2</x:v>
      </x:c>
      <x:c r="K24" s="20">
        <x:v>1.4999999999999999E-2</x:v>
      </x:c>
      <x:c r="L24" s="20">
        <x:v>0.03</x:v>
      </x:c>
      <x:c r="M24" s="20">
        <x:v>0.12</x:v>
      </x:c>
      <x:c r="N24" s="20">
        <x:v>0.08</x:v>
      </x:c>
      <x:c r="O24" s="20">
        <x:v>0.04</x:v>
      </x:c>
      <x:c r="P24" s="20">
        <x:v>0.18</x:v>
      </x:c>
      <x:c r="Q24" s="20">
        <x:v>0.08</x:v>
      </x:c>
      <x:c r="R24" s="20">
        <x:v>0.08</x:v>
      </x:c>
      <x:c r="S24" s="20">
        <x:v>0</x:v>
      </x:c>
      <x:c r="T24" s="20">
        <x:v>0.03</x:v>
      </x:c>
      <x:c r="U24" s="20">
        <x:v>0</x:v>
      </x:c>
      <x:c r="V24" s="20">
        <x:v>0</x:v>
      </x:c>
      <x:c r="W24" s="20">
        <x:v>0</x:v>
      </x:c>
      <x:c r="X24" s="20">
        <x:v>0</x:v>
      </x:c>
      <x:c r="Y24" s="20">
        <x:v>0</x:v>
      </x:c>
      <x:c r="Z24" s="20">
        <x:v>0</x:v>
      </x:c>
      <x:c r="AA24" s="20">
        <x:v>0</x:v>
      </x:c>
      <x:c r="AB24" s="20">
        <x:v>0</x:v>
      </x:c>
      <x:c r="AC24" s="20">
        <x:v>0</x:v>
      </x:c>
      <x:c r="AD24" s="20">
        <x:v>0</x:v>
      </x:c>
      <x:c r="AE24" s="20">
        <x:v>0</x:v>
      </x:c>
      <x:c r="AF24" s="20">
        <x:v>0</x:v>
      </x:c>
      <x:c r="AG24" s="20">
        <x:v>0.08</x:v>
      </x:c>
      <x:c r="AH24" s="20">
        <x:v>0.9</x:v>
      </x:c>
      <x:c r="AI24" s="20">
        <x:v>0.35</x:v>
      </x:c>
      <x:c r="AJ24" s="20">
        <x:v>0.06</x:v>
      </x:c>
      <x:c r="AK24" s="20">
        <x:v>0</x:v>
      </x:c>
      <x:c r="AL24" s="20">
        <x:v>0</x:v>
      </x:c>
      <x:c r="AM24" s="20">
        <x:v>0</x:v>
      </x:c>
      <x:c r="AN24" s="20">
        <x:v>0</x:v>
      </x:c>
      <x:c r="AO24" s="20">
        <x:v>0</x:v>
      </x:c>
      <x:c r="AP24" s="20">
        <x:v>0</x:v>
      </x:c>
      <x:c r="AQ24" s="20">
        <x:v>0</x:v>
      </x:c>
      <x:c r="AR24" s="20">
        <x:v>2.238</x:v>
      </x:c>
      <x:c r="AS24" s="12">
        <x:v>38.693999999999996</x:v>
      </x:c>
      <x:c r="AT24" s="18" t="s">
        <x:v>311</x:v>
      </x:c>
    </x:row>
    <x:row r="25" ht="15">
      <x:c r="A25" s="18">
        <x:v>23</x:v>
      </x:c>
      <x:c r="B25" s="19" t="s">
        <x:v>260</x:v>
      </x:c>
      <x:c r="C25" s="20">
        <x:v>4.4999999999999998E-2</x:v>
      </x:c>
      <x:c r="D25" s="20">
        <x:v>2.8000000000000001E-2</x:v>
      </x:c>
      <x:c r="E25" s="20">
        <x:v>0.02</x:v>
      </x:c>
      <x:c r="F25" s="20">
        <x:v>4.4999999999999998E-2</x:v>
      </x:c>
      <x:c r="G25" s="20">
        <x:v>1.2E-2</x:v>
      </x:c>
      <x:c r="H25" s="20">
        <x:v>8.0000000000000002E-3</x:v>
      </x:c>
      <x:c r="I25" s="20">
        <x:v>0.02</x:v>
      </x:c>
      <x:c r="J25" s="20">
        <x:v>1.4999999999999999E-2</x:v>
      </x:c>
      <x:c r="K25" s="20">
        <x:v>1.4999999999999999E-2</x:v>
      </x:c>
      <x:c r="L25" s="20">
        <x:v>0</x:v>
      </x:c>
      <x:c r="M25" s="20">
        <x:v>0.06</x:v>
      </x:c>
      <x:c r="N25" s="20">
        <x:v>0</x:v>
      </x:c>
      <x:c r="O25" s="20">
        <x:v>0</x:v>
      </x:c>
      <x:c r="P25" s="20">
        <x:v>0</x:v>
      </x:c>
      <x:c r="Q25" s="20">
        <x:v>0.06</x:v>
      </x:c>
      <x:c r="R25" s="20">
        <x:v>0</x:v>
      </x:c>
      <x:c r="S25" s="20">
        <x:v>0</x:v>
      </x:c>
      <x:c r="T25" s="20">
        <x:v>0</x:v>
      </x:c>
      <x:c r="U25" s="20">
        <x:v>0</x:v>
      </x:c>
      <x:c r="V25" s="20">
        <x:v>0</x:v>
      </x:c>
      <x:c r="W25" s="20">
        <x:v>0</x:v>
      </x:c>
      <x:c r="X25" s="20">
        <x:v>0</x:v>
      </x:c>
      <x:c r="Y25" s="20">
        <x:v>0</x:v>
      </x:c>
      <x:c r="Z25" s="20">
        <x:v>0</x:v>
      </x:c>
      <x:c r="AA25" s="20">
        <x:v>0</x:v>
      </x:c>
      <x:c r="AB25" s="20">
        <x:v>0</x:v>
      </x:c>
      <x:c r="AC25" s="20">
        <x:v>0</x:v>
      </x:c>
      <x:c r="AD25" s="20">
        <x:v>0</x:v>
      </x:c>
      <x:c r="AE25" s="20">
        <x:v>0</x:v>
      </x:c>
      <x:c r="AF25" s="20">
        <x:v>0</x:v>
      </x:c>
      <x:c r="AG25" s="20">
        <x:v>0</x:v>
      </x:c>
      <x:c r="AH25" s="20">
        <x:v>0.65</x:v>
      </x:c>
      <x:c r="AI25" s="20">
        <x:v>0.35</x:v>
      </x:c>
      <x:c r="AJ25" s="20">
        <x:v>0.06</x:v>
      </x:c>
      <x:c r="AK25" s="20">
        <x:v>0</x:v>
      </x:c>
      <x:c r="AL25" s="20">
        <x:v>0</x:v>
      </x:c>
      <x:c r="AM25" s="20">
        <x:v>0</x:v>
      </x:c>
      <x:c r="AN25" s="20">
        <x:v>0</x:v>
      </x:c>
      <x:c r="AO25" s="20">
        <x:v>0</x:v>
      </x:c>
      <x:c r="AP25" s="20">
        <x:v>0</x:v>
      </x:c>
      <x:c r="AQ25" s="20">
        <x:v>0</x:v>
      </x:c>
      <x:c r="AR25" s="20">
        <x:v>1.3879999999999999</x:v>
      </x:c>
      <x:c r="AS25" s="12">
        <x:v>40.081999999999994</x:v>
      </x:c>
      <x:c r="AT25" s="18" t="s">
        <x:v>312</x:v>
      </x:c>
    </x:row>
    <x:row r="26" ht="15">
      <x:c r="A26" s="24" t="s">
        <x:v>262</x:v>
      </x:c>
      <x:c r="B26" s="25"/>
      <x:c r="C26" s="22" t="n">
        <x:f>SUM(C2:C25)</x:f>
        <x:v>1.0800000000000003</x:v>
      </x:c>
      <x:c r="D26" s="22" t="n">
        <x:f t="shared" ref="D26:AR26" si="0">SUM(D2:D25)</x:f>
        <x:v>0.6720000000000004</x:v>
      </x:c>
      <x:c r="E26" s="22">
        <x:f t="shared" si="0"/>
        <x:v>0.48000000000000015</x:v>
      </x:c>
      <x:c r="F26" s="22">
        <x:f t="shared" si="0"/>
        <x:v>0.93000000000000027</x:v>
      </x:c>
      <x:c r="G26" s="22">
        <x:f t="shared" si="0"/>
        <x:v>0.28800000000000009</x:v>
      </x:c>
      <x:c r="H26" s="22">
        <x:f t="shared" si="0"/>
        <x:v>0.19200000000000012</x:v>
      </x:c>
      <x:c r="I26" s="22">
        <x:f t="shared" si="0"/>
        <x:v>0.48000000000000015</x:v>
      </x:c>
      <x:c r="J26" s="22">
        <x:f t="shared" si="0"/>
        <x:v>0.36000000000000021</x:v>
      </x:c>
      <x:c r="K26" s="22">
        <x:f t="shared" si="0"/>
        <x:v>0.09</x:v>
      </x:c>
      <x:c r="L26" s="22">
        <x:f t="shared" si="0"/>
        <x:v>0.23</x:v>
      </x:c>
      <x:c r="M26" s="22">
        <x:f t="shared" si="0"/>
        <x:v>1.1000000000000001</x:v>
      </x:c>
      <x:c r="N26" s="22">
        <x:f t="shared" si="0"/>
        <x:v>1.07</x:v>
      </x:c>
      <x:c r="O26" s="22">
        <x:f t="shared" si="0"/>
        <x:v>0.33999999999999997</x:v>
      </x:c>
      <x:c r="P26" s="22">
        <x:f t="shared" si="0"/>
        <x:v>2.44</x:v>
      </x:c>
      <x:c r="Q26" s="22">
        <x:f t="shared" si="0"/>
        <x:v>1.18</x:v>
      </x:c>
      <x:c r="R26" s="22">
        <x:f t="shared" si="0"/>
        <x:v>0.7</x:v>
      </x:c>
      <x:c r="S26" s="22">
        <x:f t="shared" si="0"/>
        <x:v>0.8</x:v>
      </x:c>
      <x:c r="T26" s="22">
        <x:f t="shared" si="0"/>
        <x:v>0.42000000000000015</x:v>
      </x:c>
      <x:c r="U26" s="22">
        <x:f t="shared" si="0"/>
        <x:v>3.6499999999999995</x:v>
      </x:c>
      <x:c r="V26" s="22">
        <x:f t="shared" si="0"/>
        <x:v>0.25</x:v>
      </x:c>
      <x:c r="W26" s="22">
        <x:f t="shared" si="0"/>
        <x:v>1.3</x:v>
      </x:c>
      <x:c r="X26" s="22">
        <x:f t="shared" si="0"/>
        <x:v>0.37</x:v>
      </x:c>
      <x:c r="Y26" s="22">
        <x:f t="shared" si="0"/>
        <x:v>1.5</x:v>
      </x:c>
      <x:c r="Z26" s="22">
        <x:f t="shared" si="0"/>
        <x:v>0.03</x:v>
      </x:c>
      <x:c r="AA26" s="22">
        <x:f t="shared" si="0"/>
        <x:v>0.45</x:v>
      </x:c>
      <x:c r="AB26" s="22">
        <x:f t="shared" si="0"/>
        <x:v>2.5999999999999996</x:v>
      </x:c>
      <x:c r="AC26" s="22">
        <x:f t="shared" si="0"/>
        <x:v>0.5</x:v>
      </x:c>
      <x:c r="AD26" s="22">
        <x:f t="shared" si="0"/>
        <x:v>0.05</x:v>
      </x:c>
      <x:c r="AE26" s="22">
        <x:f t="shared" si="0"/>
        <x:v>0.1</x:v>
      </x:c>
      <x:c r="AF26" s="22">
        <x:f t="shared" si="0"/>
        <x:v>0.2</x:v>
      </x:c>
      <x:c r="AG26" s="22">
        <x:f t="shared" si="0"/>
        <x:v>0.2</x:v>
      </x:c>
      <x:c r="AH26" s="22">
        <x:f t="shared" si="0"/>
        <x:v>10.700000000000001</x:v>
      </x:c>
      <x:c r="AI26" s="22">
        <x:f t="shared" si="0"/>
        <x:v>3.1500000000000004</x:v>
      </x:c>
      <x:c r="AJ26" s="22">
        <x:f t="shared" si="0"/>
        <x:v>1.2600000000000007</x:v>
      </x:c>
      <x:c r="AK26" s="22">
        <x:f t="shared" si="0"/>
        <x:v>0.92</x:v>
      </x:c>
      <x:c r="AL26" s="22">
        <x:f t="shared" si="0"/>
        <x:v>0</x:v>
      </x:c>
      <x:c r="AM26" s="22">
        <x:f t="shared" si="0"/>
        <x:v>0</x:v>
      </x:c>
      <x:c r="AN26" s="22">
        <x:f t="shared" si="0"/>
        <x:v>0</x:v>
      </x:c>
      <x:c r="AO26" s="22">
        <x:f t="shared" si="0"/>
        <x:v>0</x:v>
      </x:c>
      <x:c r="AP26" s="22">
        <x:f t="shared" si="0"/>
        <x:v>0</x:v>
      </x:c>
      <x:c r="AQ26" s="22">
        <x:f t="shared" si="0"/>
        <x:v>0</x:v>
      </x:c>
      <x:c r="AR26" s="22">
        <x:f t="shared" si="0"/>
        <x:v>40.081999999999994</x:v>
      </x:c>
      <x:c r="AS26" s="22"/>
      <x:c r="AT26" s="10"/>
    </x:row>
  </x:sheetData>
  <x:mergeCells>
    <x:mergeCell ref="A26:B26"/>
  </x:mergeCells>
  <x:conditionalFormatting sqref="AT12:AT17 A12:AR17">
    <x:cfRule type="expression" dxfId="5" priority="1">
      <x:formula>#REF!=1</x:formula>
    </x:cfRule>
    <x:cfRule type="expression" dxfId="4" priority="2">
      <x:formula>#REF!=2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4.25"/>
  <x:cols>
    <x:col min="1" max="1" width="5.25" style="1" customWidth="1"/>
    <x:col min="2" max="2" width="13.25" style="1" customWidth="1"/>
    <x:col min="3" max="3" width="7" style="1" customWidth="1"/>
    <x:col min="4" max="4" width="10.5" style="1" customWidth="1"/>
    <x:col min="5" max="6" width="7" style="1" customWidth="1"/>
    <x:col min="7" max="7" width="11.5" style="1" customWidth="1"/>
    <x:col min="8" max="8" width="15.375" style="1" customWidth="1"/>
    <x:col min="9" max="9" width="17.375" style="1" customWidth="1"/>
    <x:col min="10" max="10" width="6.375" style="1" customWidth="1"/>
    <x:col min="11" max="11" width="10.5" style="1" customWidth="1"/>
    <x:col min="12" max="12" width="15.375" style="1" customWidth="1"/>
    <x:col min="13" max="13" width="8.875" style="1" customWidth="1"/>
    <x:col min="14" max="14" width="6.375" style="1" customWidth="1"/>
    <x:col min="15" max="15" width="17.375" style="1" customWidth="1"/>
    <x:col min="16" max="16" width="15.375" style="1" customWidth="1"/>
    <x:col min="17" max="17" width="24.125" style="1" customWidth="1"/>
    <x:col min="18" max="18" width="8.75" style="1" customWidth="1"/>
    <x:col min="19" max="20" width="13.625" style="1" customWidth="1"/>
    <x:col min="21" max="21" width="17.375" style="1" customWidth="1"/>
    <x:col min="22" max="22" width="10.5" style="1" customWidth="1"/>
    <x:col min="23" max="23" width="17.375" style="1" customWidth="1"/>
    <x:col min="24" max="24" width="19.25" style="1" customWidth="1"/>
    <x:col min="25" max="25" width="10.5" style="1" customWidth="1"/>
    <x:col min="26" max="26" width="12.5" style="1" customWidth="1"/>
    <x:col min="27" max="27" width="7" style="1" customWidth="1"/>
    <x:col min="28" max="30" width="10.5" style="1" customWidth="1"/>
    <x:col min="31" max="31" width="15.375" style="1" customWidth="1"/>
    <x:col min="32" max="32" width="17.375" style="1" customWidth="1"/>
    <x:col min="33" max="33" width="12.5" style="1" customWidth="1"/>
    <x:col min="34" max="35" width="11.625" style="1" customWidth="1"/>
    <x:col min="36" max="36" width="17.375" style="1" customWidth="1"/>
    <x:col min="37" max="37" width="7" style="1" customWidth="1"/>
    <x:col min="38" max="38" width="12.5" style="1" customWidth="1"/>
    <x:col min="39" max="39" width="17.375" style="1" customWidth="1"/>
    <x:col min="40" max="40" width="15.375" style="1" customWidth="1"/>
    <x:col min="41" max="41" width="7" style="1" customWidth="1"/>
    <x:col min="42" max="42" width="14.375" style="1" customWidth="1"/>
    <x:col min="43" max="43" width="10.5" style="1" customWidth="1"/>
    <x:col min="44" max="44" width="18.125" style="1" customWidth="1"/>
    <x:col min="45" max="45" width="16.25" style="1" customWidth="1"/>
    <x:col min="46" max="46" width="70" style="1" customWidth="1"/>
    <x:col min="47" max="16384" width="9" style="1" customWidth="0"/>
  </x:cols>
  <x:sheetData>
    <x:row r="1" ht="15">
      <x:c r="A1" s="30" t="s">
        <x:v>220</x:v>
      </x:c>
      <x:c r="B1" s="31" t="s">
        <x:v>221</x:v>
      </x:c>
      <x:c r="C1" s="31" t="s">
        <x:v>46</x:v>
      </x:c>
      <x:c r="D1" s="31" t="s">
        <x:v>52</x:v>
      </x:c>
      <x:c r="E1" s="31" t="s">
        <x:v>55</x:v>
      </x:c>
      <x:c r="F1" s="31" t="s">
        <x:v>59</x:v>
      </x:c>
      <x:c r="G1" s="31" t="s">
        <x:v>64</x:v>
      </x:c>
      <x:c r="H1" s="31" t="s">
        <x:v>68</x:v>
      </x:c>
      <x:c r="I1" s="31" t="s">
        <x:v>72</x:v>
      </x:c>
      <x:c r="J1" s="31" t="s">
        <x:v>76</x:v>
      </x:c>
      <x:c r="K1" s="31" t="s">
        <x:v>81</x:v>
      </x:c>
      <x:c r="L1" s="31" t="s">
        <x:v>86</x:v>
      </x:c>
      <x:c r="M1" s="31" t="s">
        <x:v>91</x:v>
      </x:c>
      <x:c r="N1" s="31" t="s">
        <x:v>96</x:v>
      </x:c>
      <x:c r="O1" s="31" t="s">
        <x:v>100</x:v>
      </x:c>
      <x:c r="P1" s="31" t="s">
        <x:v>105</x:v>
      </x:c>
      <x:c r="Q1" s="31" t="s">
        <x:v>109</x:v>
      </x:c>
      <x:c r="R1" s="31" t="s">
        <x:v>114</x:v>
      </x:c>
      <x:c r="S1" s="31" t="s">
        <x:v>119</x:v>
      </x:c>
      <x:c r="T1" s="31" t="s">
        <x:v>122</x:v>
      </x:c>
      <x:c r="U1" s="31" t="s">
        <x:v>125</x:v>
      </x:c>
      <x:c r="V1" s="31" t="s">
        <x:v>128</x:v>
      </x:c>
      <x:c r="W1" s="31" t="s">
        <x:v>132</x:v>
      </x:c>
      <x:c r="X1" s="31" t="s">
        <x:v>136</x:v>
      </x:c>
      <x:c r="Y1" s="31" t="s">
        <x:v>140</x:v>
      </x:c>
      <x:c r="Z1" s="31" t="s">
        <x:v>143</x:v>
      </x:c>
      <x:c r="AA1" s="31" t="s">
        <x:v>148</x:v>
      </x:c>
      <x:c r="AB1" s="31" t="s">
        <x:v>152</x:v>
      </x:c>
      <x:c r="AC1" s="31" t="s">
        <x:v>156</x:v>
      </x:c>
      <x:c r="AD1" s="31" t="s">
        <x:v>160</x:v>
      </x:c>
      <x:c r="AE1" s="31" t="s">
        <x:v>164</x:v>
      </x:c>
      <x:c r="AF1" s="31" t="s">
        <x:v>168</x:v>
      </x:c>
      <x:c r="AG1" s="31" t="s">
        <x:v>172</x:v>
      </x:c>
      <x:c r="AH1" s="31" t="s">
        <x:v>176</x:v>
      </x:c>
      <x:c r="AI1" s="31" t="s">
        <x:v>181</x:v>
      </x:c>
      <x:c r="AJ1" s="31" t="s">
        <x:v>185</x:v>
      </x:c>
      <x:c r="AK1" s="31" t="s">
        <x:v>190</x:v>
      </x:c>
      <x:c r="AL1" s="31" t="s">
        <x:v>194</x:v>
      </x:c>
      <x:c r="AM1" s="31" t="s">
        <x:v>199</x:v>
      </x:c>
      <x:c r="AN1" s="31" t="s">
        <x:v>202</x:v>
      </x:c>
      <x:c r="AO1" s="31" t="s">
        <x:v>207</x:v>
      </x:c>
      <x:c r="AP1" s="31" t="s">
        <x:v>212</x:v>
      </x:c>
      <x:c r="AQ1" s="31" t="s">
        <x:v>216</x:v>
      </x:c>
      <x:c r="AR1" s="31" t="s">
        <x:v>222</x:v>
      </x:c>
      <x:c r="AS1" s="31" t="s">
        <x:v>223</x:v>
      </x:c>
      <x:c r="AT1" s="32" t="s">
        <x:v>224</x:v>
      </x:c>
    </x:row>
    <x:row r="2" ht="15">
      <x:c r="A2" s="26">
        <x:v>0</x:v>
      </x:c>
      <x:c r="B2" s="19" t="s">
        <x:v>225</x:v>
      </x:c>
      <x:c r="C2" s="20">
        <x:v>3.5000000000000003E-2</x:v>
      </x:c>
      <x:c r="D2" s="20">
        <x:v>2.1999999999999999E-2</x:v>
      </x:c>
      <x:c r="E2" s="20">
        <x:v>1.6E-2</x:v>
      </x:c>
      <x:c r="F2" s="20">
        <x:v>0.02</x:v>
      </x:c>
      <x:c r="G2" s="20">
        <x:v>1.2E-2</x:v>
      </x:c>
      <x:c r="H2" s="20">
        <x:v>8.0000000000000002E-3</x:v>
      </x:c>
      <x:c r="I2" s="20">
        <x:v>0.02</x:v>
      </x:c>
      <x:c r="J2" s="20">
        <x:v>2.5000000000000001E-2</x:v>
      </x:c>
      <x:c r="K2" s="20">
        <x:v>0</x:v>
      </x:c>
      <x:c r="L2" s="20">
        <x:v>0</x:v>
      </x:c>
      <x:c r="M2" s="20">
        <x:v>0</x:v>
      </x:c>
      <x:c r="N2" s="20">
        <x:v>0</x:v>
      </x:c>
      <x:c r="O2" s="20">
        <x:v>0</x:v>
      </x:c>
      <x:c r="P2" s="20">
        <x:v>0</x:v>
      </x:c>
      <x:c r="Q2" s="20">
        <x:v>0</x:v>
      </x:c>
      <x:c r="R2" s="20">
        <x:v>0</x:v>
      </x:c>
      <x:c r="S2" s="20">
        <x:v>0</x:v>
      </x:c>
      <x:c r="T2" s="20">
        <x:v>0</x:v>
      </x:c>
      <x:c r="U2" s="20">
        <x:v>0</x:v>
      </x:c>
      <x:c r="V2" s="20">
        <x:v>0</x:v>
      </x:c>
      <x:c r="W2" s="20">
        <x:v>0</x:v>
      </x:c>
      <x:c r="X2" s="20">
        <x:v>0</x:v>
      </x:c>
      <x:c r="Y2" s="20">
        <x:v>0</x:v>
      </x:c>
      <x:c r="Z2" s="20">
        <x:v>0</x:v>
      </x:c>
      <x:c r="AA2" s="20">
        <x:v>0</x:v>
      </x:c>
      <x:c r="AB2" s="20">
        <x:v>0</x:v>
      </x:c>
      <x:c r="AC2" s="20">
        <x:v>0</x:v>
      </x:c>
      <x:c r="AD2" s="20">
        <x:v>0</x:v>
      </x:c>
      <x:c r="AE2" s="20">
        <x:v>0</x:v>
      </x:c>
      <x:c r="AF2" s="20">
        <x:v>0</x:v>
      </x:c>
      <x:c r="AG2" s="20">
        <x:v>0</x:v>
      </x:c>
      <x:c r="AH2" s="20">
        <x:v>0</x:v>
      </x:c>
      <x:c r="AI2" s="20">
        <x:v>0</x:v>
      </x:c>
      <x:c r="AJ2" s="20">
        <x:v>0</x:v>
      </x:c>
      <x:c r="AK2" s="20">
        <x:v>0</x:v>
      </x:c>
      <x:c r="AL2" s="20">
        <x:v>0.25</x:v>
      </x:c>
      <x:c r="AM2" s="20">
        <x:v>0.16</x:v>
      </x:c>
      <x:c r="AN2" s="20">
        <x:v>0</x:v>
      </x:c>
      <x:c r="AO2" s="20">
        <x:v>0.06</x:v>
      </x:c>
      <x:c r="AP2" s="20">
        <x:v>0.04</x:v>
      </x:c>
      <x:c r="AQ2" s="20">
        <x:v>0</x:v>
      </x:c>
      <x:c r="AR2" s="20">
        <x:v>0.66800000000000015</x:v>
      </x:c>
      <x:c r="AS2" s="12">
        <x:v>0.66800000000000015</x:v>
      </x:c>
      <x:c r="AT2" s="28" t="s">
        <x:v>313</x:v>
      </x:c>
    </x:row>
    <x:row r="3" ht="15">
      <x:c r="A3" s="26">
        <x:v>1</x:v>
      </x:c>
      <x:c r="B3" s="19" t="s">
        <x:v>227</x:v>
      </x:c>
      <x:c r="C3" s="20">
        <x:v>3.5000000000000003E-2</x:v>
      </x:c>
      <x:c r="D3" s="20">
        <x:v>2.1999999999999999E-2</x:v>
      </x:c>
      <x:c r="E3" s="20">
        <x:v>1.6E-2</x:v>
      </x:c>
      <x:c r="F3" s="20">
        <x:v>0.02</x:v>
      </x:c>
      <x:c r="G3" s="20">
        <x:v>1.2E-2</x:v>
      </x:c>
      <x:c r="H3" s="20">
        <x:v>8.0000000000000002E-3</x:v>
      </x:c>
      <x:c r="I3" s="20">
        <x:v>0.02</x:v>
      </x:c>
      <x:c r="J3" s="20">
        <x:v>2.5000000000000001E-2</x:v>
      </x:c>
      <x:c r="K3" s="20">
        <x:v>0</x:v>
      </x:c>
      <x:c r="L3" s="20">
        <x:v>0</x:v>
      </x:c>
      <x:c r="M3" s="20">
        <x:v>0</x:v>
      </x:c>
      <x:c r="N3" s="20">
        <x:v>0</x:v>
      </x:c>
      <x:c r="O3" s="20">
        <x:v>0</x:v>
      </x:c>
      <x:c r="P3" s="20">
        <x:v>0</x:v>
      </x:c>
      <x:c r="Q3" s="20">
        <x:v>0</x:v>
      </x:c>
      <x:c r="R3" s="20">
        <x:v>0</x:v>
      </x:c>
      <x:c r="S3" s="20">
        <x:v>0</x:v>
      </x:c>
      <x:c r="T3" s="20">
        <x:v>0</x:v>
      </x:c>
      <x:c r="U3" s="20">
        <x:v>0</x:v>
      </x:c>
      <x:c r="V3" s="20">
        <x:v>0</x:v>
      </x:c>
      <x:c r="W3" s="20">
        <x:v>0</x:v>
      </x:c>
      <x:c r="X3" s="20">
        <x:v>0</x:v>
      </x:c>
      <x:c r="Y3" s="20">
        <x:v>0</x:v>
      </x:c>
      <x:c r="Z3" s="20">
        <x:v>0</x:v>
      </x:c>
      <x:c r="AA3" s="20">
        <x:v>0</x:v>
      </x:c>
      <x:c r="AB3" s="20">
        <x:v>0</x:v>
      </x:c>
      <x:c r="AC3" s="20">
        <x:v>0</x:v>
      </x:c>
      <x:c r="AD3" s="20">
        <x:v>0</x:v>
      </x:c>
      <x:c r="AE3" s="20">
        <x:v>0</x:v>
      </x:c>
      <x:c r="AF3" s="20">
        <x:v>0</x:v>
      </x:c>
      <x:c r="AG3" s="20">
        <x:v>0</x:v>
      </x:c>
      <x:c r="AH3" s="20">
        <x:v>0</x:v>
      </x:c>
      <x:c r="AI3" s="20">
        <x:v>0</x:v>
      </x:c>
      <x:c r="AJ3" s="20">
        <x:v>0</x:v>
      </x:c>
      <x:c r="AK3" s="20">
        <x:v>0</x:v>
      </x:c>
      <x:c r="AL3" s="20">
        <x:v>0</x:v>
      </x:c>
      <x:c r="AM3" s="20">
        <x:v>0.16</x:v>
      </x:c>
      <x:c r="AN3" s="20">
        <x:v>0</x:v>
      </x:c>
      <x:c r="AO3" s="20">
        <x:v>0.06</x:v>
      </x:c>
      <x:c r="AP3" s="20">
        <x:v>0</x:v>
      </x:c>
      <x:c r="AQ3" s="20">
        <x:v>0</x:v>
      </x:c>
      <x:c r="AR3" s="20">
        <x:v>0.378</x:v>
      </x:c>
      <x:c r="AS3" s="12">
        <x:v>1.0460000000000003</x:v>
      </x:c>
      <x:c r="AT3" s="28" t="s">
        <x:v>314</x:v>
      </x:c>
    </x:row>
    <x:row r="4" ht="15">
      <x:c r="A4" s="26">
        <x:v>2</x:v>
      </x:c>
      <x:c r="B4" s="19" t="s">
        <x:v>228</x:v>
      </x:c>
      <x:c r="C4" s="20">
        <x:v>3.5000000000000003E-2</x:v>
      </x:c>
      <x:c r="D4" s="20">
        <x:v>2.1999999999999999E-2</x:v>
      </x:c>
      <x:c r="E4" s="20">
        <x:v>1.6E-2</x:v>
      </x:c>
      <x:c r="F4" s="20">
        <x:v>0.02</x:v>
      </x:c>
      <x:c r="G4" s="20">
        <x:v>1.2E-2</x:v>
      </x:c>
      <x:c r="H4" s="20">
        <x:v>8.0000000000000002E-3</x:v>
      </x:c>
      <x:c r="I4" s="20">
        <x:v>0.02</x:v>
      </x:c>
      <x:c r="J4" s="20">
        <x:v>2.5000000000000001E-2</x:v>
      </x:c>
      <x:c r="K4" s="20">
        <x:v>0</x:v>
      </x:c>
      <x:c r="L4" s="20">
        <x:v>0</x:v>
      </x:c>
      <x:c r="M4" s="20">
        <x:v>0</x:v>
      </x:c>
      <x:c r="N4" s="20">
        <x:v>0</x:v>
      </x:c>
      <x:c r="O4" s="20">
        <x:v>0</x:v>
      </x:c>
      <x:c r="P4" s="20">
        <x:v>0</x:v>
      </x:c>
      <x:c r="Q4" s="20">
        <x:v>0</x:v>
      </x:c>
      <x:c r="R4" s="20">
        <x:v>0</x:v>
      </x:c>
      <x:c r="S4" s="20">
        <x:v>0</x:v>
      </x:c>
      <x:c r="T4" s="20">
        <x:v>0</x:v>
      </x:c>
      <x:c r="U4" s="20">
        <x:v>0</x:v>
      </x:c>
      <x:c r="V4" s="20">
        <x:v>0</x:v>
      </x:c>
      <x:c r="W4" s="20">
        <x:v>0</x:v>
      </x:c>
      <x:c r="X4" s="20">
        <x:v>0</x:v>
      </x:c>
      <x:c r="Y4" s="20">
        <x:v>0</x:v>
      </x:c>
      <x:c r="Z4" s="20">
        <x:v>0</x:v>
      </x:c>
      <x:c r="AA4" s="20">
        <x:v>0</x:v>
      </x:c>
      <x:c r="AB4" s="20">
        <x:v>0</x:v>
      </x:c>
      <x:c r="AC4" s="20">
        <x:v>0</x:v>
      </x:c>
      <x:c r="AD4" s="20">
        <x:v>0</x:v>
      </x:c>
      <x:c r="AE4" s="20">
        <x:v>0</x:v>
      </x:c>
      <x:c r="AF4" s="20">
        <x:v>0</x:v>
      </x:c>
      <x:c r="AG4" s="20">
        <x:v>0</x:v>
      </x:c>
      <x:c r="AH4" s="20">
        <x:v>0</x:v>
      </x:c>
      <x:c r="AI4" s="20">
        <x:v>0</x:v>
      </x:c>
      <x:c r="AJ4" s="20">
        <x:v>0</x:v>
      </x:c>
      <x:c r="AK4" s="20">
        <x:v>0</x:v>
      </x:c>
      <x:c r="AL4" s="20">
        <x:v>0</x:v>
      </x:c>
      <x:c r="AM4" s="20">
        <x:v>0.16</x:v>
      </x:c>
      <x:c r="AN4" s="20">
        <x:v>0</x:v>
      </x:c>
      <x:c r="AO4" s="20">
        <x:v>0.06</x:v>
      </x:c>
      <x:c r="AP4" s="20">
        <x:v>0</x:v>
      </x:c>
      <x:c r="AQ4" s="20">
        <x:v>0</x:v>
      </x:c>
      <x:c r="AR4" s="20">
        <x:v>0.378</x:v>
      </x:c>
      <x:c r="AS4" s="12">
        <x:v>1.4240000000000004</x:v>
      </x:c>
      <x:c r="AT4" s="28" t="s">
        <x:v>314</x:v>
      </x:c>
    </x:row>
    <x:row r="5" ht="15">
      <x:c r="A5" s="26">
        <x:v>3</x:v>
      </x:c>
      <x:c r="B5" s="19" t="s">
        <x:v>229</x:v>
      </x:c>
      <x:c r="C5" s="20">
        <x:v>3.5000000000000003E-2</x:v>
      </x:c>
      <x:c r="D5" s="20">
        <x:v>2.1999999999999999E-2</x:v>
      </x:c>
      <x:c r="E5" s="20">
        <x:v>1.6E-2</x:v>
      </x:c>
      <x:c r="F5" s="20">
        <x:v>0.02</x:v>
      </x:c>
      <x:c r="G5" s="20">
        <x:v>1.2E-2</x:v>
      </x:c>
      <x:c r="H5" s="20">
        <x:v>8.0000000000000002E-3</x:v>
      </x:c>
      <x:c r="I5" s="20">
        <x:v>0.02</x:v>
      </x:c>
      <x:c r="J5" s="20">
        <x:v>2.5000000000000001E-2</x:v>
      </x:c>
      <x:c r="K5" s="20">
        <x:v>0</x:v>
      </x:c>
      <x:c r="L5" s="20">
        <x:v>0</x:v>
      </x:c>
      <x:c r="M5" s="20">
        <x:v>0</x:v>
      </x:c>
      <x:c r="N5" s="20">
        <x:v>0</x:v>
      </x:c>
      <x:c r="O5" s="20">
        <x:v>0</x:v>
      </x:c>
      <x:c r="P5" s="20">
        <x:v>0</x:v>
      </x:c>
      <x:c r="Q5" s="20">
        <x:v>0</x:v>
      </x:c>
      <x:c r="R5" s="20">
        <x:v>0</x:v>
      </x:c>
      <x:c r="S5" s="20">
        <x:v>0</x:v>
      </x:c>
      <x:c r="T5" s="20">
        <x:v>0</x:v>
      </x:c>
      <x:c r="U5" s="20">
        <x:v>0</x:v>
      </x:c>
      <x:c r="V5" s="20">
        <x:v>0</x:v>
      </x:c>
      <x:c r="W5" s="20">
        <x:v>0</x:v>
      </x:c>
      <x:c r="X5" s="20">
        <x:v>0</x:v>
      </x:c>
      <x:c r="Y5" s="20">
        <x:v>0</x:v>
      </x:c>
      <x:c r="Z5" s="20">
        <x:v>0</x:v>
      </x:c>
      <x:c r="AA5" s="20">
        <x:v>0</x:v>
      </x:c>
      <x:c r="AB5" s="20">
        <x:v>0</x:v>
      </x:c>
      <x:c r="AC5" s="20">
        <x:v>0</x:v>
      </x:c>
      <x:c r="AD5" s="20">
        <x:v>0</x:v>
      </x:c>
      <x:c r="AE5" s="20">
        <x:v>0</x:v>
      </x:c>
      <x:c r="AF5" s="20">
        <x:v>0</x:v>
      </x:c>
      <x:c r="AG5" s="20">
        <x:v>0</x:v>
      </x:c>
      <x:c r="AH5" s="20">
        <x:v>0</x:v>
      </x:c>
      <x:c r="AI5" s="20">
        <x:v>0</x:v>
      </x:c>
      <x:c r="AJ5" s="20">
        <x:v>0</x:v>
      </x:c>
      <x:c r="AK5" s="20">
        <x:v>0</x:v>
      </x:c>
      <x:c r="AL5" s="20">
        <x:v>0</x:v>
      </x:c>
      <x:c r="AM5" s="20">
        <x:v>0.16</x:v>
      </x:c>
      <x:c r="AN5" s="20">
        <x:v>0</x:v>
      </x:c>
      <x:c r="AO5" s="20">
        <x:v>0.06</x:v>
      </x:c>
      <x:c r="AP5" s="20">
        <x:v>0</x:v>
      </x:c>
      <x:c r="AQ5" s="20">
        <x:v>0</x:v>
      </x:c>
      <x:c r="AR5" s="20">
        <x:v>0.378</x:v>
      </x:c>
      <x:c r="AS5" s="12">
        <x:v>1.8020000000000005</x:v>
      </x:c>
      <x:c r="AT5" s="28" t="s">
        <x:v>314</x:v>
      </x:c>
    </x:row>
    <x:row r="6" ht="15">
      <x:c r="A6" s="26">
        <x:v>4</x:v>
      </x:c>
      <x:c r="B6" s="19" t="s">
        <x:v>230</x:v>
      </x:c>
      <x:c r="C6" s="20">
        <x:v>3.5000000000000003E-2</x:v>
      </x:c>
      <x:c r="D6" s="20">
        <x:v>2.1999999999999999E-2</x:v>
      </x:c>
      <x:c r="E6" s="20">
        <x:v>1.6E-2</x:v>
      </x:c>
      <x:c r="F6" s="20">
        <x:v>0.02</x:v>
      </x:c>
      <x:c r="G6" s="20">
        <x:v>1.2E-2</x:v>
      </x:c>
      <x:c r="H6" s="20">
        <x:v>8.0000000000000002E-3</x:v>
      </x:c>
      <x:c r="I6" s="20">
        <x:v>0.02</x:v>
      </x:c>
      <x:c r="J6" s="20">
        <x:v>2.5000000000000001E-2</x:v>
      </x:c>
      <x:c r="K6" s="20">
        <x:v>0</x:v>
      </x:c>
      <x:c r="L6" s="20">
        <x:v>0</x:v>
      </x:c>
      <x:c r="M6" s="20">
        <x:v>0</x:v>
      </x:c>
      <x:c r="N6" s="20">
        <x:v>0</x:v>
      </x:c>
      <x:c r="O6" s="20">
        <x:v>0</x:v>
      </x:c>
      <x:c r="P6" s="20">
        <x:v>0</x:v>
      </x:c>
      <x:c r="Q6" s="20">
        <x:v>0</x:v>
      </x:c>
      <x:c r="R6" s="20">
        <x:v>0</x:v>
      </x:c>
      <x:c r="S6" s="20">
        <x:v>0</x:v>
      </x:c>
      <x:c r="T6" s="20">
        <x:v>0</x:v>
      </x:c>
      <x:c r="U6" s="20">
        <x:v>0</x:v>
      </x:c>
      <x:c r="V6" s="20">
        <x:v>0</x:v>
      </x:c>
      <x:c r="W6" s="20">
        <x:v>0</x:v>
      </x:c>
      <x:c r="X6" s="20">
        <x:v>0</x:v>
      </x:c>
      <x:c r="Y6" s="20">
        <x:v>0</x:v>
      </x:c>
      <x:c r="Z6" s="20">
        <x:v>0</x:v>
      </x:c>
      <x:c r="AA6" s="20">
        <x:v>0</x:v>
      </x:c>
      <x:c r="AB6" s="20">
        <x:v>0</x:v>
      </x:c>
      <x:c r="AC6" s="20">
        <x:v>0</x:v>
      </x:c>
      <x:c r="AD6" s="20">
        <x:v>0</x:v>
      </x:c>
      <x:c r="AE6" s="20">
        <x:v>0</x:v>
      </x:c>
      <x:c r="AF6" s="20">
        <x:v>0</x:v>
      </x:c>
      <x:c r="AG6" s="20">
        <x:v>0</x:v>
      </x:c>
      <x:c r="AH6" s="20">
        <x:v>0</x:v>
      </x:c>
      <x:c r="AI6" s="20">
        <x:v>0</x:v>
      </x:c>
      <x:c r="AJ6" s="20">
        <x:v>0</x:v>
      </x:c>
      <x:c r="AK6" s="20">
        <x:v>0</x:v>
      </x:c>
      <x:c r="AL6" s="20">
        <x:v>0</x:v>
      </x:c>
      <x:c r="AM6" s="20">
        <x:v>0.16</x:v>
      </x:c>
      <x:c r="AN6" s="20">
        <x:v>0</x:v>
      </x:c>
      <x:c r="AO6" s="20">
        <x:v>0.06</x:v>
      </x:c>
      <x:c r="AP6" s="20">
        <x:v>0</x:v>
      </x:c>
      <x:c r="AQ6" s="20">
        <x:v>0</x:v>
      </x:c>
      <x:c r="AR6" s="20">
        <x:v>0.378</x:v>
      </x:c>
      <x:c r="AS6" s="12">
        <x:v>2.1800000000000006</x:v>
      </x:c>
      <x:c r="AT6" s="28" t="s">
        <x:v>314</x:v>
      </x:c>
    </x:row>
    <x:row r="7" ht="15">
      <x:c r="A7" s="26">
        <x:v>5</x:v>
      </x:c>
      <x:c r="B7" s="19" t="s">
        <x:v>231</x:v>
      </x:c>
      <x:c r="C7" s="20">
        <x:v>3.5000000000000003E-2</x:v>
      </x:c>
      <x:c r="D7" s="20">
        <x:v>2.1999999999999999E-2</x:v>
      </x:c>
      <x:c r="E7" s="20">
        <x:v>1.6E-2</x:v>
      </x:c>
      <x:c r="F7" s="20">
        <x:v>0.02</x:v>
      </x:c>
      <x:c r="G7" s="20">
        <x:v>1.2E-2</x:v>
      </x:c>
      <x:c r="H7" s="20">
        <x:v>8.0000000000000002E-3</x:v>
      </x:c>
      <x:c r="I7" s="20">
        <x:v>0.02</x:v>
      </x:c>
      <x:c r="J7" s="20">
        <x:v>2.5000000000000001E-2</x:v>
      </x:c>
      <x:c r="K7" s="20">
        <x:v>0</x:v>
      </x:c>
      <x:c r="L7" s="20">
        <x:v>0</x:v>
      </x:c>
      <x:c r="M7" s="20">
        <x:v>0</x:v>
      </x:c>
      <x:c r="N7" s="20">
        <x:v>0</x:v>
      </x:c>
      <x:c r="O7" s="20">
        <x:v>0</x:v>
      </x:c>
      <x:c r="P7" s="20">
        <x:v>0</x:v>
      </x:c>
      <x:c r="Q7" s="20">
        <x:v>0</x:v>
      </x:c>
      <x:c r="R7" s="20">
        <x:v>0</x:v>
      </x:c>
      <x:c r="S7" s="20">
        <x:v>0</x:v>
      </x:c>
      <x:c r="T7" s="20">
        <x:v>0</x:v>
      </x:c>
      <x:c r="U7" s="20">
        <x:v>0</x:v>
      </x:c>
      <x:c r="V7" s="20">
        <x:v>0</x:v>
      </x:c>
      <x:c r="W7" s="20">
        <x:v>0</x:v>
      </x:c>
      <x:c r="X7" s="20">
        <x:v>0</x:v>
      </x:c>
      <x:c r="Y7" s="20">
        <x:v>0</x:v>
      </x:c>
      <x:c r="Z7" s="20">
        <x:v>0</x:v>
      </x:c>
      <x:c r="AA7" s="20">
        <x:v>0</x:v>
      </x:c>
      <x:c r="AB7" s="20">
        <x:v>0</x:v>
      </x:c>
      <x:c r="AC7" s="20">
        <x:v>0</x:v>
      </x:c>
      <x:c r="AD7" s="20">
        <x:v>0</x:v>
      </x:c>
      <x:c r="AE7" s="20">
        <x:v>0</x:v>
      </x:c>
      <x:c r="AF7" s="20">
        <x:v>0</x:v>
      </x:c>
      <x:c r="AG7" s="20">
        <x:v>0</x:v>
      </x:c>
      <x:c r="AH7" s="20">
        <x:v>0</x:v>
      </x:c>
      <x:c r="AI7" s="20">
        <x:v>0</x:v>
      </x:c>
      <x:c r="AJ7" s="20">
        <x:v>0</x:v>
      </x:c>
      <x:c r="AK7" s="20">
        <x:v>0</x:v>
      </x:c>
      <x:c r="AL7" s="20">
        <x:v>0</x:v>
      </x:c>
      <x:c r="AM7" s="20">
        <x:v>0.16</x:v>
      </x:c>
      <x:c r="AN7" s="20">
        <x:v>0</x:v>
      </x:c>
      <x:c r="AO7" s="20">
        <x:v>0.06</x:v>
      </x:c>
      <x:c r="AP7" s="20">
        <x:v>0.05</x:v>
      </x:c>
      <x:c r="AQ7" s="20">
        <x:v>0</x:v>
      </x:c>
      <x:c r="AR7" s="20">
        <x:v>0.42799999999999999</x:v>
      </x:c>
      <x:c r="AS7" s="12">
        <x:v>2.6080000000000005</x:v>
      </x:c>
      <x:c r="AT7" s="28" t="s">
        <x:v>315</x:v>
      </x:c>
    </x:row>
    <x:row r="8" ht="15">
      <x:c r="A8" s="26">
        <x:v>6</x:v>
      </x:c>
      <x:c r="B8" s="19" t="s">
        <x:v>232</x:v>
      </x:c>
      <x:c r="C8" s="20">
        <x:v>3.5000000000000003E-2</x:v>
      </x:c>
      <x:c r="D8" s="20">
        <x:v>2.1999999999999999E-2</x:v>
      </x:c>
      <x:c r="E8" s="20">
        <x:v>1.6E-2</x:v>
      </x:c>
      <x:c r="F8" s="20">
        <x:v>3.5000000000000003E-2</x:v>
      </x:c>
      <x:c r="G8" s="20">
        <x:v>1.2E-2</x:v>
      </x:c>
      <x:c r="H8" s="20">
        <x:v>8.0000000000000002E-3</x:v>
      </x:c>
      <x:c r="I8" s="20">
        <x:v>0.02</x:v>
      </x:c>
      <x:c r="J8" s="20">
        <x:v>2.5000000000000001E-2</x:v>
      </x:c>
      <x:c r="K8" s="20">
        <x:v>2.5000000000000001E-2</x:v>
      </x:c>
      <x:c r="L8" s="20">
        <x:v>0.03</x:v>
      </x:c>
      <x:c r="M8" s="20">
        <x:v>0.12</x:v>
      </x:c>
      <x:c r="N8" s="20">
        <x:v>0</x:v>
      </x:c>
      <x:c r="O8" s="20">
        <x:v>0</x:v>
      </x:c>
      <x:c r="P8" s="20">
        <x:v>0</x:v>
      </x:c>
      <x:c r="Q8" s="20">
        <x:v>0</x:v>
      </x:c>
      <x:c r="R8" s="20">
        <x:v>0</x:v>
      </x:c>
      <x:c r="S8" s="20">
        <x:v>0.25</x:v>
      </x:c>
      <x:c r="T8" s="20">
        <x:v>0</x:v>
      </x:c>
      <x:c r="U8" s="20">
        <x:v>0.2</x:v>
      </x:c>
      <x:c r="V8" s="20">
        <x:v>0.04</x:v>
      </x:c>
      <x:c r="W8" s="20">
        <x:v>0</x:v>
      </x:c>
      <x:c r="X8" s="20">
        <x:v>0.12</x:v>
      </x:c>
      <x:c r="Y8" s="20">
        <x:v>0</x:v>
      </x:c>
      <x:c r="Z8" s="20">
        <x:v>0</x:v>
      </x:c>
      <x:c r="AA8" s="20">
        <x:v>0</x:v>
      </x:c>
      <x:c r="AB8" s="20">
        <x:v>0</x:v>
      </x:c>
      <x:c r="AC8" s="20">
        <x:v>0</x:v>
      </x:c>
      <x:c r="AD8" s="20">
        <x:v>0</x:v>
      </x:c>
      <x:c r="AE8" s="20">
        <x:v>0</x:v>
      </x:c>
      <x:c r="AF8" s="20">
        <x:v>0</x:v>
      </x:c>
      <x:c r="AG8" s="20">
        <x:v>0</x:v>
      </x:c>
      <x:c r="AH8" s="20">
        <x:v>0</x:v>
      </x:c>
      <x:c r="AI8" s="20">
        <x:v>0</x:v>
      </x:c>
      <x:c r="AJ8" s="20">
        <x:v>0</x:v>
      </x:c>
      <x:c r="AK8" s="20">
        <x:v>0</x:v>
      </x:c>
      <x:c r="AL8" s="20">
        <x:v>0.7</x:v>
      </x:c>
      <x:c r="AM8" s="20">
        <x:v>0.16</x:v>
      </x:c>
      <x:c r="AN8" s="20">
        <x:v>0</x:v>
      </x:c>
      <x:c r="AO8" s="20">
        <x:v>0.06</x:v>
      </x:c>
      <x:c r="AP8" s="20">
        <x:v>0.05</x:v>
      </x:c>
      <x:c r="AQ8" s="20">
        <x:v>0.15</x:v>
      </x:c>
      <x:c r="AR8" s="20">
        <x:v>2.0779999999999998</x:v>
      </x:c>
      <x:c r="AS8" s="12">
        <x:v>4.6859999999999999</x:v>
      </x:c>
      <x:c r="AT8" s="28" t="s">
        <x:v>316</x:v>
      </x:c>
    </x:row>
    <x:row r="9" ht="15">
      <x:c r="A9" s="26">
        <x:v>7</x:v>
      </x:c>
      <x:c r="B9" s="19" t="s">
        <x:v>234</x:v>
      </x:c>
      <x:c r="C9" s="20">
        <x:v>3.5000000000000003E-2</x:v>
      </x:c>
      <x:c r="D9" s="20">
        <x:v>2.1999999999999999E-2</x:v>
      </x:c>
      <x:c r="E9" s="20">
        <x:v>1.6E-2</x:v>
      </x:c>
      <x:c r="F9" s="20">
        <x:v>3.5000000000000003E-2</x:v>
      </x:c>
      <x:c r="G9" s="20">
        <x:v>1.2E-2</x:v>
      </x:c>
      <x:c r="H9" s="20">
        <x:v>8.0000000000000002E-3</x:v>
      </x:c>
      <x:c r="I9" s="20">
        <x:v>0.02</x:v>
      </x:c>
      <x:c r="J9" s="20">
        <x:v>2.5000000000000001E-2</x:v>
      </x:c>
      <x:c r="K9" s="20">
        <x:v>2.5000000000000001E-2</x:v>
      </x:c>
      <x:c r="L9" s="20">
        <x:v>0.03</x:v>
      </x:c>
      <x:c r="M9" s="20">
        <x:v>0.16</x:v>
      </x:c>
      <x:c r="N9" s="20">
        <x:v>0.04</x:v>
      </x:c>
      <x:c r="O9" s="20">
        <x:v>0</x:v>
      </x:c>
      <x:c r="P9" s="20">
        <x:v>0</x:v>
      </x:c>
      <x:c r="Q9" s="20">
        <x:v>0</x:v>
      </x:c>
      <x:c r="R9" s="20">
        <x:v>0</x:v>
      </x:c>
      <x:c r="S9" s="20">
        <x:v>0</x:v>
      </x:c>
      <x:c r="T9" s="20">
        <x:v>0.03</x:v>
      </x:c>
      <x:c r="U9" s="20">
        <x:v>0.35</x:v>
      </x:c>
      <x:c r="V9" s="20">
        <x:v>0</x:v>
      </x:c>
      <x:c r="W9" s="20">
        <x:v>0</x:v>
      </x:c>
      <x:c r="X9" s="20">
        <x:v>0.05</x:v>
      </x:c>
      <x:c r="Y9" s="20">
        <x:v>0</x:v>
      </x:c>
      <x:c r="Z9" s="20">
        <x:v>0</x:v>
      </x:c>
      <x:c r="AA9" s="20">
        <x:v>0</x:v>
      </x:c>
      <x:c r="AB9" s="20">
        <x:v>0</x:v>
      </x:c>
      <x:c r="AC9" s="20">
        <x:v>0</x:v>
      </x:c>
      <x:c r="AD9" s="20">
        <x:v>0</x:v>
      </x:c>
      <x:c r="AE9" s="20">
        <x:v>0</x:v>
      </x:c>
      <x:c r="AF9" s="20">
        <x:v>0</x:v>
      </x:c>
      <x:c r="AG9" s="20">
        <x:v>0.15</x:v>
      </x:c>
      <x:c r="AH9" s="20">
        <x:v>0</x:v>
      </x:c>
      <x:c r="AI9" s="20">
        <x:v>0</x:v>
      </x:c>
      <x:c r="AJ9" s="20">
        <x:v>0</x:v>
      </x:c>
      <x:c r="AK9" s="20">
        <x:v>0</x:v>
      </x:c>
      <x:c r="AL9" s="20">
        <x:v>0.7</x:v>
      </x:c>
      <x:c r="AM9" s="20">
        <x:v>0.08</x:v>
      </x:c>
      <x:c r="AN9" s="20">
        <x:v>0.15</x:v>
      </x:c>
      <x:c r="AO9" s="20">
        <x:v>0.06</x:v>
      </x:c>
      <x:c r="AP9" s="20">
        <x:v>0.05</x:v>
      </x:c>
      <x:c r="AQ9" s="20">
        <x:v>0.15</x:v>
      </x:c>
      <x:c r="AR9" s="20">
        <x:v>2.198</x:v>
      </x:c>
      <x:c r="AS9" s="12">
        <x:v>6.8840000000000003</x:v>
      </x:c>
      <x:c r="AT9" s="28" t="s">
        <x:v>317</x:v>
      </x:c>
    </x:row>
    <x:row r="10" ht="15">
      <x:c r="A10" s="26">
        <x:v>8</x:v>
      </x:c>
      <x:c r="B10" s="19" t="s">
        <x:v>236</x:v>
      </x:c>
      <x:c r="C10" s="20">
        <x:v>3.5000000000000003E-2</x:v>
      </x:c>
      <x:c r="D10" s="20">
        <x:v>2.1999999999999999E-2</x:v>
      </x:c>
      <x:c r="E10" s="20">
        <x:v>1.6E-2</x:v>
      </x:c>
      <x:c r="F10" s="20">
        <x:v>3.5000000000000003E-2</x:v>
      </x:c>
      <x:c r="G10" s="20">
        <x:v>1.2E-2</x:v>
      </x:c>
      <x:c r="H10" s="20">
        <x:v>8.0000000000000002E-3</x:v>
      </x:c>
      <x:c r="I10" s="20">
        <x:v>0.02</x:v>
      </x:c>
      <x:c r="J10" s="20">
        <x:v>2.5000000000000001E-2</x:v>
      </x:c>
      <x:c r="K10" s="20">
        <x:v>2.5000000000000001E-2</x:v>
      </x:c>
      <x:c r="L10" s="20">
        <x:v>0</x:v>
      </x:c>
      <x:c r="M10" s="20">
        <x:v>0</x:v>
      </x:c>
      <x:c r="N10" s="20">
        <x:v>0</x:v>
      </x:c>
      <x:c r="O10" s="20">
        <x:v>0</x:v>
      </x:c>
      <x:c r="P10" s="20">
        <x:v>0</x:v>
      </x:c>
      <x:c r="Q10" s="20">
        <x:v>0</x:v>
      </x:c>
      <x:c r="R10" s="20">
        <x:v>0</x:v>
      </x:c>
      <x:c r="S10" s="20">
        <x:v>0</x:v>
      </x:c>
      <x:c r="T10" s="20">
        <x:v>0.03</x:v>
      </x:c>
      <x:c r="U10" s="20">
        <x:v>0</x:v>
      </x:c>
      <x:c r="V10" s="20">
        <x:v>0</x:v>
      </x:c>
      <x:c r="W10" s="20">
        <x:v>0</x:v>
      </x:c>
      <x:c r="X10" s="20">
        <x:v>0</x:v>
      </x:c>
      <x:c r="Y10" s="20">
        <x:v>0</x:v>
      </x:c>
      <x:c r="Z10" s="20">
        <x:v>0</x:v>
      </x:c>
      <x:c r="AA10" s="20">
        <x:v>0</x:v>
      </x:c>
      <x:c r="AB10" s="20">
        <x:v>0</x:v>
      </x:c>
      <x:c r="AC10" s="20">
        <x:v>0</x:v>
      </x:c>
      <x:c r="AD10" s="20">
        <x:v>0</x:v>
      </x:c>
      <x:c r="AE10" s="20">
        <x:v>0</x:v>
      </x:c>
      <x:c r="AF10" s="20">
        <x:v>0</x:v>
      </x:c>
      <x:c r="AG10" s="20">
        <x:v>0</x:v>
      </x:c>
      <x:c r="AH10" s="20">
        <x:v>0</x:v>
      </x:c>
      <x:c r="AI10" s="20">
        <x:v>0</x:v>
      </x:c>
      <x:c r="AJ10" s="20">
        <x:v>0</x:v>
      </x:c>
      <x:c r="AK10" s="20">
        <x:v>0</x:v>
      </x:c>
      <x:c r="AL10" s="20">
        <x:v>0.3</x:v>
      </x:c>
      <x:c r="AM10" s="20">
        <x:v>0</x:v>
      </x:c>
      <x:c r="AN10" s="20">
        <x:v>0</x:v>
      </x:c>
      <x:c r="AO10" s="20">
        <x:v>0</x:v>
      </x:c>
      <x:c r="AP10" s="20">
        <x:v>0.05</x:v>
      </x:c>
      <x:c r="AQ10" s="20">
        <x:v>0</x:v>
      </x:c>
      <x:c r="AR10" s="20">
        <x:v>0.57800000000000007</x:v>
      </x:c>
      <x:c r="AS10" s="12">
        <x:v>7.4620000000000006</x:v>
      </x:c>
      <x:c r="AT10" s="28" t="s">
        <x:v>318</x:v>
      </x:c>
    </x:row>
    <x:row r="11" ht="15">
      <x:c r="A11" s="26">
        <x:v>9</x:v>
      </x:c>
      <x:c r="B11" s="19" t="s">
        <x:v>238</x:v>
      </x:c>
      <x:c r="C11" s="20">
        <x:v>3.5000000000000003E-2</x:v>
      </x:c>
      <x:c r="D11" s="20">
        <x:v>2.1999999999999999E-2</x:v>
      </x:c>
      <x:c r="E11" s="20">
        <x:v>1.6E-2</x:v>
      </x:c>
      <x:c r="F11" s="20">
        <x:v>3.5000000000000003E-2</x:v>
      </x:c>
      <x:c r="G11" s="20">
        <x:v>1.2E-2</x:v>
      </x:c>
      <x:c r="H11" s="20">
        <x:v>8.0000000000000002E-3</x:v>
      </x:c>
      <x:c r="I11" s="20">
        <x:v>0.02</x:v>
      </x:c>
      <x:c r="J11" s="20">
        <x:v>2.5000000000000001E-2</x:v>
      </x:c>
      <x:c r="K11" s="20">
        <x:v>2.5000000000000001E-2</x:v>
      </x:c>
      <x:c r="L11" s="20">
        <x:v>0</x:v>
      </x:c>
      <x:c r="M11" s="20">
        <x:v>0</x:v>
      </x:c>
      <x:c r="N11" s="20">
        <x:v>0</x:v>
      </x:c>
      <x:c r="O11" s="20">
        <x:v>0</x:v>
      </x:c>
      <x:c r="P11" s="20">
        <x:v>0</x:v>
      </x:c>
      <x:c r="Q11" s="20">
        <x:v>0</x:v>
      </x:c>
      <x:c r="R11" s="20">
        <x:v>0</x:v>
      </x:c>
      <x:c r="S11" s="20">
        <x:v>0</x:v>
      </x:c>
      <x:c r="T11" s="20">
        <x:v>0.03</x:v>
      </x:c>
      <x:c r="U11" s="20">
        <x:v>0</x:v>
      </x:c>
      <x:c r="V11" s="20">
        <x:v>0</x:v>
      </x:c>
      <x:c r="W11" s="20">
        <x:v>0</x:v>
      </x:c>
      <x:c r="X11" s="20">
        <x:v>0</x:v>
      </x:c>
      <x:c r="Y11" s="20">
        <x:v>0</x:v>
      </x:c>
      <x:c r="Z11" s="20">
        <x:v>0</x:v>
      </x:c>
      <x:c r="AA11" s="20">
        <x:v>0</x:v>
      </x:c>
      <x:c r="AB11" s="20">
        <x:v>0</x:v>
      </x:c>
      <x:c r="AC11" s="20">
        <x:v>0</x:v>
      </x:c>
      <x:c r="AD11" s="20">
        <x:v>0</x:v>
      </x:c>
      <x:c r="AE11" s="20">
        <x:v>0</x:v>
      </x:c>
      <x:c r="AF11" s="20">
        <x:v>0</x:v>
      </x:c>
      <x:c r="AG11" s="20">
        <x:v>0</x:v>
      </x:c>
      <x:c r="AH11" s="20">
        <x:v>0</x:v>
      </x:c>
      <x:c r="AI11" s="20">
        <x:v>0</x:v>
      </x:c>
      <x:c r="AJ11" s="20">
        <x:v>0</x:v>
      </x:c>
      <x:c r="AK11" s="20">
        <x:v>0</x:v>
      </x:c>
      <x:c r="AL11" s="20">
        <x:v>0</x:v>
      </x:c>
      <x:c r="AM11" s="20">
        <x:v>0</x:v>
      </x:c>
      <x:c r="AN11" s="20">
        <x:v>0</x:v>
      </x:c>
      <x:c r="AO11" s="20">
        <x:v>0</x:v>
      </x:c>
      <x:c r="AP11" s="20">
        <x:v>0</x:v>
      </x:c>
      <x:c r="AQ11" s="20">
        <x:v>0</x:v>
      </x:c>
      <x:c r="AR11" s="20">
        <x:v>0.22799999999999998</x:v>
      </x:c>
      <x:c r="AS11" s="12">
        <x:v>7.69</x:v>
      </x:c>
      <x:c r="AT11" s="28" t="s">
        <x:v>319</x:v>
      </x:c>
    </x:row>
    <x:row r="12" ht="15">
      <x:c r="A12" s="27">
        <x:v>10</x:v>
      </x:c>
      <x:c r="B12" s="19" t="s">
        <x:v>239</x:v>
      </x:c>
      <x:c r="C12" s="20">
        <x:v>3.5000000000000003E-2</x:v>
      </x:c>
      <x:c r="D12" s="20">
        <x:v>2.1999999999999999E-2</x:v>
      </x:c>
      <x:c r="E12" s="20">
        <x:v>1.6E-2</x:v>
      </x:c>
      <x:c r="F12" s="20">
        <x:v>3.5000000000000003E-2</x:v>
      </x:c>
      <x:c r="G12" s="20">
        <x:v>1.2E-2</x:v>
      </x:c>
      <x:c r="H12" s="20">
        <x:v>8.0000000000000002E-3</x:v>
      </x:c>
      <x:c r="I12" s="20">
        <x:v>0.02</x:v>
      </x:c>
      <x:c r="J12" s="20">
        <x:v>2.5000000000000001E-2</x:v>
      </x:c>
      <x:c r="K12" s="20">
        <x:v>2.5000000000000001E-2</x:v>
      </x:c>
      <x:c r="L12" s="20">
        <x:v>0</x:v>
      </x:c>
      <x:c r="M12" s="20">
        <x:v>0</x:v>
      </x:c>
      <x:c r="N12" s="20">
        <x:v>0</x:v>
      </x:c>
      <x:c r="O12" s="20">
        <x:v>0</x:v>
      </x:c>
      <x:c r="P12" s="20">
        <x:v>0</x:v>
      </x:c>
      <x:c r="Q12" s="20">
        <x:v>0</x:v>
      </x:c>
      <x:c r="R12" s="20">
        <x:v>0</x:v>
      </x:c>
      <x:c r="S12" s="20">
        <x:v>0</x:v>
      </x:c>
      <x:c r="T12" s="20">
        <x:v>0.03</x:v>
      </x:c>
      <x:c r="U12" s="20">
        <x:v>0</x:v>
      </x:c>
      <x:c r="V12" s="20">
        <x:v>0</x:v>
      </x:c>
      <x:c r="W12" s="20">
        <x:v>0</x:v>
      </x:c>
      <x:c r="X12" s="20">
        <x:v>0</x:v>
      </x:c>
      <x:c r="Y12" s="20">
        <x:v>0</x:v>
      </x:c>
      <x:c r="Z12" s="20">
        <x:v>0</x:v>
      </x:c>
      <x:c r="AA12" s="20">
        <x:v>0</x:v>
      </x:c>
      <x:c r="AB12" s="20">
        <x:v>0</x:v>
      </x:c>
      <x:c r="AC12" s="20">
        <x:v>0</x:v>
      </x:c>
      <x:c r="AD12" s="20">
        <x:v>0.05</x:v>
      </x:c>
      <x:c r="AE12" s="20">
        <x:v>0</x:v>
      </x:c>
      <x:c r="AF12" s="20">
        <x:v>0</x:v>
      </x:c>
      <x:c r="AG12" s="20">
        <x:v>0</x:v>
      </x:c>
      <x:c r="AH12" s="20">
        <x:v>0</x:v>
      </x:c>
      <x:c r="AI12" s="20">
        <x:v>0</x:v>
      </x:c>
      <x:c r="AJ12" s="20">
        <x:v>0</x:v>
      </x:c>
      <x:c r="AK12" s="20">
        <x:v>0</x:v>
      </x:c>
      <x:c r="AL12" s="20">
        <x:v>0</x:v>
      </x:c>
      <x:c r="AM12" s="20">
        <x:v>0</x:v>
      </x:c>
      <x:c r="AN12" s="20">
        <x:v>0</x:v>
      </x:c>
      <x:c r="AO12" s="20">
        <x:v>0</x:v>
      </x:c>
      <x:c r="AP12" s="20">
        <x:v>0</x:v>
      </x:c>
      <x:c r="AQ12" s="20">
        <x:v>0</x:v>
      </x:c>
      <x:c r="AR12" s="20">
        <x:v>0.27799999999999997</x:v>
      </x:c>
      <x:c r="AS12" s="12">
        <x:v>7.968</x:v>
      </x:c>
      <x:c r="AT12" s="29" t="s">
        <x:v>320</x:v>
      </x:c>
    </x:row>
    <x:row r="13" ht="15">
      <x:c r="A13" s="27">
        <x:v>11</x:v>
      </x:c>
      <x:c r="B13" s="19" t="s">
        <x:v>241</x:v>
      </x:c>
      <x:c r="C13" s="20">
        <x:v>3.5000000000000003E-2</x:v>
      </x:c>
      <x:c r="D13" s="20">
        <x:v>2.1999999999999999E-2</x:v>
      </x:c>
      <x:c r="E13" s="20">
        <x:v>1.6E-2</x:v>
      </x:c>
      <x:c r="F13" s="20">
        <x:v>3.5000000000000003E-2</x:v>
      </x:c>
      <x:c r="G13" s="20">
        <x:v>1.2E-2</x:v>
      </x:c>
      <x:c r="H13" s="20">
        <x:v>8.0000000000000002E-3</x:v>
      </x:c>
      <x:c r="I13" s="20">
        <x:v>0.02</x:v>
      </x:c>
      <x:c r="J13" s="20">
        <x:v>2.5000000000000001E-2</x:v>
      </x:c>
      <x:c r="K13" s="20">
        <x:v>2.5000000000000001E-2</x:v>
      </x:c>
      <x:c r="L13" s="20">
        <x:v>0</x:v>
      </x:c>
      <x:c r="M13" s="20">
        <x:v>0</x:v>
      </x:c>
      <x:c r="N13" s="20">
        <x:v>0</x:v>
      </x:c>
      <x:c r="O13" s="20">
        <x:v>0</x:v>
      </x:c>
      <x:c r="P13" s="20">
        <x:v>0</x:v>
      </x:c>
      <x:c r="Q13" s="20">
        <x:v>0</x:v>
      </x:c>
      <x:c r="R13" s="20">
        <x:v>0</x:v>
      </x:c>
      <x:c r="S13" s="20">
        <x:v>0</x:v>
      </x:c>
      <x:c r="T13" s="20">
        <x:v>0.03</x:v>
      </x:c>
      <x:c r="U13" s="20">
        <x:v>0</x:v>
      </x:c>
      <x:c r="V13" s="20">
        <x:v>0</x:v>
      </x:c>
      <x:c r="W13" s="20">
        <x:v>0</x:v>
      </x:c>
      <x:c r="X13" s="20">
        <x:v>0</x:v>
      </x:c>
      <x:c r="Y13" s="20">
        <x:v>0</x:v>
      </x:c>
      <x:c r="Z13" s="20">
        <x:v>0</x:v>
      </x:c>
      <x:c r="AA13" s="20">
        <x:v>0</x:v>
      </x:c>
      <x:c r="AB13" s="20">
        <x:v>0</x:v>
      </x:c>
      <x:c r="AC13" s="20">
        <x:v>0</x:v>
      </x:c>
      <x:c r="AD13" s="20">
        <x:v>0</x:v>
      </x:c>
      <x:c r="AE13" s="20">
        <x:v>0</x:v>
      </x:c>
      <x:c r="AF13" s="20">
        <x:v>0</x:v>
      </x:c>
      <x:c r="AG13" s="20">
        <x:v>0</x:v>
      </x:c>
      <x:c r="AH13" s="20">
        <x:v>0</x:v>
      </x:c>
      <x:c r="AI13" s="20">
        <x:v>0</x:v>
      </x:c>
      <x:c r="AJ13" s="20">
        <x:v>0</x:v>
      </x:c>
      <x:c r="AK13" s="20">
        <x:v>0</x:v>
      </x:c>
      <x:c r="AL13" s="20">
        <x:v>0</x:v>
      </x:c>
      <x:c r="AM13" s="20">
        <x:v>0</x:v>
      </x:c>
      <x:c r="AN13" s="20">
        <x:v>0</x:v>
      </x:c>
      <x:c r="AO13" s="20">
        <x:v>0</x:v>
      </x:c>
      <x:c r="AP13" s="20">
        <x:v>0</x:v>
      </x:c>
      <x:c r="AQ13" s="20">
        <x:v>0</x:v>
      </x:c>
      <x:c r="AR13" s="20">
        <x:v>0.22799999999999998</x:v>
      </x:c>
      <x:c r="AS13" s="12">
        <x:v>8.1959999999999997</x:v>
      </x:c>
      <x:c r="AT13" s="29" t="s">
        <x:v>319</x:v>
      </x:c>
    </x:row>
    <x:row r="14" ht="15">
      <x:c r="A14" s="27">
        <x:v>12</x:v>
      </x:c>
      <x:c r="B14" s="19" t="s">
        <x:v>242</x:v>
      </x:c>
      <x:c r="C14" s="20">
        <x:v>3.5000000000000003E-2</x:v>
      </x:c>
      <x:c r="D14" s="20">
        <x:v>2.1999999999999999E-2</x:v>
      </x:c>
      <x:c r="E14" s="20">
        <x:v>1.6E-2</x:v>
      </x:c>
      <x:c r="F14" s="20">
        <x:v>3.5000000000000003E-2</x:v>
      </x:c>
      <x:c r="G14" s="20">
        <x:v>1.2E-2</x:v>
      </x:c>
      <x:c r="H14" s="20">
        <x:v>8.0000000000000002E-3</x:v>
      </x:c>
      <x:c r="I14" s="20">
        <x:v>0.02</x:v>
      </x:c>
      <x:c r="J14" s="20">
        <x:v>2.5000000000000001E-2</x:v>
      </x:c>
      <x:c r="K14" s="20">
        <x:v>2.5000000000000001E-2</x:v>
      </x:c>
      <x:c r="L14" s="20">
        <x:v>0</x:v>
      </x:c>
      <x:c r="M14" s="20">
        <x:v>0</x:v>
      </x:c>
      <x:c r="N14" s="20">
        <x:v>0</x:v>
      </x:c>
      <x:c r="O14" s="20">
        <x:v>0</x:v>
      </x:c>
      <x:c r="P14" s="20">
        <x:v>0</x:v>
      </x:c>
      <x:c r="Q14" s="20">
        <x:v>0</x:v>
      </x:c>
      <x:c r="R14" s="20">
        <x:v>0</x:v>
      </x:c>
      <x:c r="S14" s="20">
        <x:v>0</x:v>
      </x:c>
      <x:c r="T14" s="20">
        <x:v>0.03</x:v>
      </x:c>
      <x:c r="U14" s="20">
        <x:v>0</x:v>
      </x:c>
      <x:c r="V14" s="20">
        <x:v>0</x:v>
      </x:c>
      <x:c r="W14" s="20">
        <x:v>0</x:v>
      </x:c>
      <x:c r="X14" s="20">
        <x:v>0</x:v>
      </x:c>
      <x:c r="Y14" s="20">
        <x:v>0</x:v>
      </x:c>
      <x:c r="Z14" s="20">
        <x:v>0</x:v>
      </x:c>
      <x:c r="AA14" s="20">
        <x:v>0</x:v>
      </x:c>
      <x:c r="AB14" s="20">
        <x:v>0</x:v>
      </x:c>
      <x:c r="AC14" s="20">
        <x:v>0</x:v>
      </x:c>
      <x:c r="AD14" s="20">
        <x:v>0</x:v>
      </x:c>
      <x:c r="AE14" s="20">
        <x:v>0</x:v>
      </x:c>
      <x:c r="AF14" s="20">
        <x:v>0</x:v>
      </x:c>
      <x:c r="AG14" s="20">
        <x:v>0</x:v>
      </x:c>
      <x:c r="AH14" s="20">
        <x:v>0</x:v>
      </x:c>
      <x:c r="AI14" s="20">
        <x:v>0</x:v>
      </x:c>
      <x:c r="AJ14" s="20">
        <x:v>0</x:v>
      </x:c>
      <x:c r="AK14" s="20">
        <x:v>0</x:v>
      </x:c>
      <x:c r="AL14" s="20">
        <x:v>0</x:v>
      </x:c>
      <x:c r="AM14" s="20">
        <x:v>0</x:v>
      </x:c>
      <x:c r="AN14" s="20">
        <x:v>0</x:v>
      </x:c>
      <x:c r="AO14" s="20">
        <x:v>0</x:v>
      </x:c>
      <x:c r="AP14" s="20">
        <x:v>0</x:v>
      </x:c>
      <x:c r="AQ14" s="20">
        <x:v>0</x:v>
      </x:c>
      <x:c r="AR14" s="20">
        <x:v>0.22799999999999998</x:v>
      </x:c>
      <x:c r="AS14" s="12">
        <x:v>8.4239999999999995</x:v>
      </x:c>
      <x:c r="AT14" s="29" t="s">
        <x:v>319</x:v>
      </x:c>
    </x:row>
    <x:row r="15" ht="15">
      <x:c r="A15" s="27">
        <x:v>13</x:v>
      </x:c>
      <x:c r="B15" s="19" t="s">
        <x:v>243</x:v>
      </x:c>
      <x:c r="C15" s="20">
        <x:v>3.5000000000000003E-2</x:v>
      </x:c>
      <x:c r="D15" s="20">
        <x:v>2.1999999999999999E-2</x:v>
      </x:c>
      <x:c r="E15" s="20">
        <x:v>1.6E-2</x:v>
      </x:c>
      <x:c r="F15" s="20">
        <x:v>3.5000000000000003E-2</x:v>
      </x:c>
      <x:c r="G15" s="20">
        <x:v>1.2E-2</x:v>
      </x:c>
      <x:c r="H15" s="20">
        <x:v>8.0000000000000002E-3</x:v>
      </x:c>
      <x:c r="I15" s="20">
        <x:v>0.02</x:v>
      </x:c>
      <x:c r="J15" s="20">
        <x:v>2.5000000000000001E-2</x:v>
      </x:c>
      <x:c r="K15" s="20">
        <x:v>2.5000000000000001E-2</x:v>
      </x:c>
      <x:c r="L15" s="20">
        <x:v>0</x:v>
      </x:c>
      <x:c r="M15" s="20">
        <x:v>0</x:v>
      </x:c>
      <x:c r="N15" s="20">
        <x:v>0</x:v>
      </x:c>
      <x:c r="O15" s="20">
        <x:v>0</x:v>
      </x:c>
      <x:c r="P15" s="20">
        <x:v>0</x:v>
      </x:c>
      <x:c r="Q15" s="20">
        <x:v>0</x:v>
      </x:c>
      <x:c r="R15" s="20">
        <x:v>0</x:v>
      </x:c>
      <x:c r="S15" s="20">
        <x:v>0</x:v>
      </x:c>
      <x:c r="T15" s="20">
        <x:v>0.03</x:v>
      </x:c>
      <x:c r="U15" s="20">
        <x:v>0</x:v>
      </x:c>
      <x:c r="V15" s="20">
        <x:v>0</x:v>
      </x:c>
      <x:c r="W15" s="20">
        <x:v>0</x:v>
      </x:c>
      <x:c r="X15" s="20">
        <x:v>0</x:v>
      </x:c>
      <x:c r="Y15" s="20">
        <x:v>0</x:v>
      </x:c>
      <x:c r="Z15" s="20">
        <x:v>0</x:v>
      </x:c>
      <x:c r="AA15" s="20">
        <x:v>0</x:v>
      </x:c>
      <x:c r="AB15" s="20">
        <x:v>0</x:v>
      </x:c>
      <x:c r="AC15" s="20">
        <x:v>0</x:v>
      </x:c>
      <x:c r="AD15" s="20">
        <x:v>0</x:v>
      </x:c>
      <x:c r="AE15" s="20">
        <x:v>0</x:v>
      </x:c>
      <x:c r="AF15" s="20">
        <x:v>0</x:v>
      </x:c>
      <x:c r="AG15" s="20">
        <x:v>0</x:v>
      </x:c>
      <x:c r="AH15" s="20">
        <x:v>0</x:v>
      </x:c>
      <x:c r="AI15" s="20">
        <x:v>0</x:v>
      </x:c>
      <x:c r="AJ15" s="20">
        <x:v>0</x:v>
      </x:c>
      <x:c r="AK15" s="20">
        <x:v>0</x:v>
      </x:c>
      <x:c r="AL15" s="20">
        <x:v>0</x:v>
      </x:c>
      <x:c r="AM15" s="20">
        <x:v>0</x:v>
      </x:c>
      <x:c r="AN15" s="20">
        <x:v>0</x:v>
      </x:c>
      <x:c r="AO15" s="20">
        <x:v>0</x:v>
      </x:c>
      <x:c r="AP15" s="20">
        <x:v>0</x:v>
      </x:c>
      <x:c r="AQ15" s="20">
        <x:v>0</x:v>
      </x:c>
      <x:c r="AR15" s="20">
        <x:v>0.22799999999999998</x:v>
      </x:c>
      <x:c r="AS15" s="12">
        <x:v>8.6519999999999992</x:v>
      </x:c>
      <x:c r="AT15" s="29" t="s">
        <x:v>319</x:v>
      </x:c>
    </x:row>
    <x:row r="16" ht="15">
      <x:c r="A16" s="27">
        <x:v>14</x:v>
      </x:c>
      <x:c r="B16" s="19" t="s">
        <x:v>244</x:v>
      </x:c>
      <x:c r="C16" s="20">
        <x:v>3.5000000000000003E-2</x:v>
      </x:c>
      <x:c r="D16" s="20">
        <x:v>2.1999999999999999E-2</x:v>
      </x:c>
      <x:c r="E16" s="20">
        <x:v>1.6E-2</x:v>
      </x:c>
      <x:c r="F16" s="20">
        <x:v>3.5000000000000003E-2</x:v>
      </x:c>
      <x:c r="G16" s="20">
        <x:v>1.2E-2</x:v>
      </x:c>
      <x:c r="H16" s="20">
        <x:v>8.0000000000000002E-3</x:v>
      </x:c>
      <x:c r="I16" s="20">
        <x:v>0.02</x:v>
      </x:c>
      <x:c r="J16" s="20">
        <x:v>2.5000000000000001E-2</x:v>
      </x:c>
      <x:c r="K16" s="20">
        <x:v>2.5000000000000001E-2</x:v>
      </x:c>
      <x:c r="L16" s="20">
        <x:v>0</x:v>
      </x:c>
      <x:c r="M16" s="20">
        <x:v>0</x:v>
      </x:c>
      <x:c r="N16" s="20">
        <x:v>0</x:v>
      </x:c>
      <x:c r="O16" s="20">
        <x:v>0</x:v>
      </x:c>
      <x:c r="P16" s="20">
        <x:v>0</x:v>
      </x:c>
      <x:c r="Q16" s="20">
        <x:v>0</x:v>
      </x:c>
      <x:c r="R16" s="20">
        <x:v>0</x:v>
      </x:c>
      <x:c r="S16" s="20">
        <x:v>0</x:v>
      </x:c>
      <x:c r="T16" s="20">
        <x:v>0.03</x:v>
      </x:c>
      <x:c r="U16" s="20">
        <x:v>0</x:v>
      </x:c>
      <x:c r="V16" s="20">
        <x:v>0</x:v>
      </x:c>
      <x:c r="W16" s="20">
        <x:v>0</x:v>
      </x:c>
      <x:c r="X16" s="20">
        <x:v>0</x:v>
      </x:c>
      <x:c r="Y16" s="20">
        <x:v>0</x:v>
      </x:c>
      <x:c r="Z16" s="20">
        <x:v>0</x:v>
      </x:c>
      <x:c r="AA16" s="20">
        <x:v>0</x:v>
      </x:c>
      <x:c r="AB16" s="20">
        <x:v>0</x:v>
      </x:c>
      <x:c r="AC16" s="20">
        <x:v>0</x:v>
      </x:c>
      <x:c r="AD16" s="20">
        <x:v>0</x:v>
      </x:c>
      <x:c r="AE16" s="20">
        <x:v>0</x:v>
      </x:c>
      <x:c r="AF16" s="20">
        <x:v>0</x:v>
      </x:c>
      <x:c r="AG16" s="20">
        <x:v>0</x:v>
      </x:c>
      <x:c r="AH16" s="20">
        <x:v>0</x:v>
      </x:c>
      <x:c r="AI16" s="20">
        <x:v>0</x:v>
      </x:c>
      <x:c r="AJ16" s="20">
        <x:v>0</x:v>
      </x:c>
      <x:c r="AK16" s="20">
        <x:v>0</x:v>
      </x:c>
      <x:c r="AL16" s="20">
        <x:v>0</x:v>
      </x:c>
      <x:c r="AM16" s="20">
        <x:v>0</x:v>
      </x:c>
      <x:c r="AN16" s="20">
        <x:v>0</x:v>
      </x:c>
      <x:c r="AO16" s="20">
        <x:v>0</x:v>
      </x:c>
      <x:c r="AP16" s="20">
        <x:v>0</x:v>
      </x:c>
      <x:c r="AQ16" s="20">
        <x:v>0</x:v>
      </x:c>
      <x:c r="AR16" s="20">
        <x:v>0.22799999999999998</x:v>
      </x:c>
      <x:c r="AS16" s="12">
        <x:v>8.879999999999999</x:v>
      </x:c>
      <x:c r="AT16" s="29" t="s">
        <x:v>319</x:v>
      </x:c>
    </x:row>
    <x:row r="17" ht="15">
      <x:c r="A17" s="27">
        <x:v>15</x:v>
      </x:c>
      <x:c r="B17" s="19" t="s">
        <x:v>245</x:v>
      </x:c>
      <x:c r="C17" s="20">
        <x:v>3.5000000000000003E-2</x:v>
      </x:c>
      <x:c r="D17" s="20">
        <x:v>2.1999999999999999E-2</x:v>
      </x:c>
      <x:c r="E17" s="20">
        <x:v>1.6E-2</x:v>
      </x:c>
      <x:c r="F17" s="20">
        <x:v>3.5000000000000003E-2</x:v>
      </x:c>
      <x:c r="G17" s="20">
        <x:v>1.2E-2</x:v>
      </x:c>
      <x:c r="H17" s="20">
        <x:v>8.0000000000000002E-3</x:v>
      </x:c>
      <x:c r="I17" s="20">
        <x:v>0.02</x:v>
      </x:c>
      <x:c r="J17" s="20">
        <x:v>2.5000000000000001E-2</x:v>
      </x:c>
      <x:c r="K17" s="20">
        <x:v>2.5000000000000001E-2</x:v>
      </x:c>
      <x:c r="L17" s="20">
        <x:v>0</x:v>
      </x:c>
      <x:c r="M17" s="20">
        <x:v>0</x:v>
      </x:c>
      <x:c r="N17" s="20">
        <x:v>0</x:v>
      </x:c>
      <x:c r="O17" s="20">
        <x:v>0</x:v>
      </x:c>
      <x:c r="P17" s="20">
        <x:v>0</x:v>
      </x:c>
      <x:c r="Q17" s="20">
        <x:v>0</x:v>
      </x:c>
      <x:c r="R17" s="20">
        <x:v>0</x:v>
      </x:c>
      <x:c r="S17" s="20">
        <x:v>0</x:v>
      </x:c>
      <x:c r="T17" s="20">
        <x:v>0.03</x:v>
      </x:c>
      <x:c r="U17" s="20">
        <x:v>0</x:v>
      </x:c>
      <x:c r="V17" s="20">
        <x:v>0</x:v>
      </x:c>
      <x:c r="W17" s="20">
        <x:v>0</x:v>
      </x:c>
      <x:c r="X17" s="20">
        <x:v>0</x:v>
      </x:c>
      <x:c r="Y17" s="20">
        <x:v>0</x:v>
      </x:c>
      <x:c r="Z17" s="20">
        <x:v>0</x:v>
      </x:c>
      <x:c r="AA17" s="20">
        <x:v>0</x:v>
      </x:c>
      <x:c r="AB17" s="20">
        <x:v>0</x:v>
      </x:c>
      <x:c r="AC17" s="20">
        <x:v>0</x:v>
      </x:c>
      <x:c r="AD17" s="20">
        <x:v>0</x:v>
      </x:c>
      <x:c r="AE17" s="20">
        <x:v>0</x:v>
      </x:c>
      <x:c r="AF17" s="20">
        <x:v>0</x:v>
      </x:c>
      <x:c r="AG17" s="20">
        <x:v>0</x:v>
      </x:c>
      <x:c r="AH17" s="20">
        <x:v>0</x:v>
      </x:c>
      <x:c r="AI17" s="20">
        <x:v>0</x:v>
      </x:c>
      <x:c r="AJ17" s="20">
        <x:v>0</x:v>
      </x:c>
      <x:c r="AK17" s="20">
        <x:v>0</x:v>
      </x:c>
      <x:c r="AL17" s="20">
        <x:v>0</x:v>
      </x:c>
      <x:c r="AM17" s="20">
        <x:v>0</x:v>
      </x:c>
      <x:c r="AN17" s="20">
        <x:v>0</x:v>
      </x:c>
      <x:c r="AO17" s="20">
        <x:v>0</x:v>
      </x:c>
      <x:c r="AP17" s="20">
        <x:v>0</x:v>
      </x:c>
      <x:c r="AQ17" s="20">
        <x:v>0</x:v>
      </x:c>
      <x:c r="AR17" s="20">
        <x:v>0.22799999999999998</x:v>
      </x:c>
      <x:c r="AS17" s="12">
        <x:v>9.1079999999999988</x:v>
      </x:c>
      <x:c r="AT17" s="29" t="s">
        <x:v>319</x:v>
      </x:c>
    </x:row>
    <x:row r="18" ht="15">
      <x:c r="A18" s="26">
        <x:v>16</x:v>
      </x:c>
      <x:c r="B18" s="19" t="s">
        <x:v>246</x:v>
      </x:c>
      <x:c r="C18" s="20">
        <x:v>3.5000000000000003E-2</x:v>
      </x:c>
      <x:c r="D18" s="20">
        <x:v>2.1999999999999999E-2</x:v>
      </x:c>
      <x:c r="E18" s="20">
        <x:v>1.6E-2</x:v>
      </x:c>
      <x:c r="F18" s="20">
        <x:v>3.5000000000000003E-2</x:v>
      </x:c>
      <x:c r="G18" s="20">
        <x:v>1.2E-2</x:v>
      </x:c>
      <x:c r="H18" s="20">
        <x:v>8.0000000000000002E-3</x:v>
      </x:c>
      <x:c r="I18" s="20">
        <x:v>0.02</x:v>
      </x:c>
      <x:c r="J18" s="20">
        <x:v>2.5000000000000001E-2</x:v>
      </x:c>
      <x:c r="K18" s="20">
        <x:v>2.5000000000000001E-2</x:v>
      </x:c>
      <x:c r="L18" s="20">
        <x:v>0</x:v>
      </x:c>
      <x:c r="M18" s="20">
        <x:v>0</x:v>
      </x:c>
      <x:c r="N18" s="20">
        <x:v>0.05</x:v>
      </x:c>
      <x:c r="O18" s="20">
        <x:v>0</x:v>
      </x:c>
      <x:c r="P18" s="20">
        <x:v>0.08</x:v>
      </x:c>
      <x:c r="Q18" s="20">
        <x:v>0.06</x:v>
      </x:c>
      <x:c r="R18" s="20">
        <x:v>0</x:v>
      </x:c>
      <x:c r="S18" s="20">
        <x:v>0</x:v>
      </x:c>
      <x:c r="T18" s="20">
        <x:v>0.03</x:v>
      </x:c>
      <x:c r="U18" s="20">
        <x:v>0</x:v>
      </x:c>
      <x:c r="V18" s="20">
        <x:v>0</x:v>
      </x:c>
      <x:c r="W18" s="20">
        <x:v>0</x:v>
      </x:c>
      <x:c r="X18" s="20">
        <x:v>0</x:v>
      </x:c>
      <x:c r="Y18" s="20">
        <x:v>0</x:v>
      </x:c>
      <x:c r="Z18" s="20">
        <x:v>0</x:v>
      </x:c>
      <x:c r="AA18" s="20">
        <x:v>0</x:v>
      </x:c>
      <x:c r="AB18" s="20">
        <x:v>0</x:v>
      </x:c>
      <x:c r="AC18" s="20">
        <x:v>0</x:v>
      </x:c>
      <x:c r="AD18" s="20">
        <x:v>0</x:v>
      </x:c>
      <x:c r="AE18" s="20">
        <x:v>0</x:v>
      </x:c>
      <x:c r="AF18" s="20">
        <x:v>0</x:v>
      </x:c>
      <x:c r="AG18" s="20">
        <x:v>0</x:v>
      </x:c>
      <x:c r="AH18" s="20">
        <x:v>0</x:v>
      </x:c>
      <x:c r="AI18" s="20">
        <x:v>0</x:v>
      </x:c>
      <x:c r="AJ18" s="20">
        <x:v>0</x:v>
      </x:c>
      <x:c r="AK18" s="20">
        <x:v>0</x:v>
      </x:c>
      <x:c r="AL18" s="20">
        <x:v>0</x:v>
      </x:c>
      <x:c r="AM18" s="20">
        <x:v>0</x:v>
      </x:c>
      <x:c r="AN18" s="20">
        <x:v>0</x:v>
      </x:c>
      <x:c r="AO18" s="20">
        <x:v>0</x:v>
      </x:c>
      <x:c r="AP18" s="20">
        <x:v>0</x:v>
      </x:c>
      <x:c r="AQ18" s="20">
        <x:v>0</x:v>
      </x:c>
      <x:c r="AR18" s="20">
        <x:v>0.41800000000000004</x:v>
      </x:c>
      <x:c r="AS18" s="12">
        <x:v>9.525999999999998</x:v>
      </x:c>
      <x:c r="AT18" s="28" t="s">
        <x:v>321</x:v>
      </x:c>
    </x:row>
    <x:row r="19" ht="15">
      <x:c r="A19" s="26">
        <x:v>17</x:v>
      </x:c>
      <x:c r="B19" s="19" t="s">
        <x:v>248</x:v>
      </x:c>
      <x:c r="C19" s="20">
        <x:v>3.5000000000000003E-2</x:v>
      </x:c>
      <x:c r="D19" s="20">
        <x:v>2.1999999999999999E-2</x:v>
      </x:c>
      <x:c r="E19" s="20">
        <x:v>1.6E-2</x:v>
      </x:c>
      <x:c r="F19" s="20">
        <x:v>3.5000000000000003E-2</x:v>
      </x:c>
      <x:c r="G19" s="20">
        <x:v>1.2E-2</x:v>
      </x:c>
      <x:c r="H19" s="20">
        <x:v>8.0000000000000002E-3</x:v>
      </x:c>
      <x:c r="I19" s="20">
        <x:v>0.02</x:v>
      </x:c>
      <x:c r="J19" s="20">
        <x:v>2.5000000000000001E-2</x:v>
      </x:c>
      <x:c r="K19" s="20">
        <x:v>2.5000000000000001E-2</x:v>
      </x:c>
      <x:c r="L19" s="20">
        <x:v>0</x:v>
      </x:c>
      <x:c r="M19" s="20">
        <x:v>0.12</x:v>
      </x:c>
      <x:c r="N19" s="20">
        <x:v>0.04</x:v>
      </x:c>
      <x:c r="O19" s="20">
        <x:v>0</x:v>
      </x:c>
      <x:c r="P19" s="20">
        <x:v>0.15</x:v>
      </x:c>
      <x:c r="Q19" s="20">
        <x:v>0.06</x:v>
      </x:c>
      <x:c r="R19" s="20">
        <x:v>0</x:v>
      </x:c>
      <x:c r="S19" s="20">
        <x:v>0</x:v>
      </x:c>
      <x:c r="T19" s="20">
        <x:v>0.03</x:v>
      </x:c>
      <x:c r="U19" s="20">
        <x:v>0</x:v>
      </x:c>
      <x:c r="V19" s="20">
        <x:v>0</x:v>
      </x:c>
      <x:c r="W19" s="20">
        <x:v>0</x:v>
      </x:c>
      <x:c r="X19" s="20">
        <x:v>0</x:v>
      </x:c>
      <x:c r="Y19" s="20">
        <x:v>0</x:v>
      </x:c>
      <x:c r="Z19" s="20">
        <x:v>0</x:v>
      </x:c>
      <x:c r="AA19" s="20">
        <x:v>0</x:v>
      </x:c>
      <x:c r="AB19" s="20">
        <x:v>0</x:v>
      </x:c>
      <x:c r="AC19" s="20">
        <x:v>0</x:v>
      </x:c>
      <x:c r="AD19" s="20">
        <x:v>0</x:v>
      </x:c>
      <x:c r="AE19" s="20">
        <x:v>0</x:v>
      </x:c>
      <x:c r="AF19" s="20">
        <x:v>0</x:v>
      </x:c>
      <x:c r="AG19" s="20">
        <x:v>0</x:v>
      </x:c>
      <x:c r="AH19" s="20">
        <x:v>0</x:v>
      </x:c>
      <x:c r="AI19" s="20">
        <x:v>0</x:v>
      </x:c>
      <x:c r="AJ19" s="20">
        <x:v>0</x:v>
      </x:c>
      <x:c r="AK19" s="20">
        <x:v>0</x:v>
      </x:c>
      <x:c r="AL19" s="20">
        <x:v>0.3</x:v>
      </x:c>
      <x:c r="AM19" s="20">
        <x:v>0</x:v>
      </x:c>
      <x:c r="AN19" s="20">
        <x:v>0</x:v>
      </x:c>
      <x:c r="AO19" s="20">
        <x:v>0</x:v>
      </x:c>
      <x:c r="AP19" s="20">
        <x:v>0.05</x:v>
      </x:c>
      <x:c r="AQ19" s="20">
        <x:v>0</x:v>
      </x:c>
      <x:c r="AR19" s="20">
        <x:v>0.94799999999999995</x:v>
      </x:c>
      <x:c r="AS19" s="12">
        <x:v>10.473999999999998</x:v>
      </x:c>
      <x:c r="AT19" s="28" t="s">
        <x:v>322</x:v>
      </x:c>
    </x:row>
    <x:row r="20" ht="15">
      <x:c r="A20" s="26">
        <x:v>18</x:v>
      </x:c>
      <x:c r="B20" s="19" t="s">
        <x:v>250</x:v>
      </x:c>
      <x:c r="C20" s="20">
        <x:v>3.5000000000000003E-2</x:v>
      </x:c>
      <x:c r="D20" s="20">
        <x:v>2.1999999999999999E-2</x:v>
      </x:c>
      <x:c r="E20" s="20">
        <x:v>1.6E-2</x:v>
      </x:c>
      <x:c r="F20" s="20">
        <x:v>3.5000000000000003E-2</x:v>
      </x:c>
      <x:c r="G20" s="20">
        <x:v>1.2E-2</x:v>
      </x:c>
      <x:c r="H20" s="20">
        <x:v>8.0000000000000002E-3</x:v>
      </x:c>
      <x:c r="I20" s="20">
        <x:v>0.02</x:v>
      </x:c>
      <x:c r="J20" s="20">
        <x:v>2.5000000000000001E-2</x:v>
      </x:c>
      <x:c r="K20" s="20">
        <x:v>2.5000000000000001E-2</x:v>
      </x:c>
      <x:c r="L20" s="20">
        <x:v>0.04</x:v>
      </x:c>
      <x:c r="M20" s="20">
        <x:v>0.2</x:v>
      </x:c>
      <x:c r="N20" s="20">
        <x:v>0.06</x:v>
      </x:c>
      <x:c r="O20" s="20">
        <x:v>0</x:v>
      </x:c>
      <x:c r="P20" s="20">
        <x:v>0.15</x:v>
      </x:c>
      <x:c r="Q20" s="20">
        <x:v>0.08</x:v>
      </x:c>
      <x:c r="R20" s="20">
        <x:v>0</x:v>
      </x:c>
      <x:c r="S20" s="20">
        <x:v>0.35</x:v>
      </x:c>
      <x:c r="T20" s="20">
        <x:v>0.03</x:v>
      </x:c>
      <x:c r="U20" s="20">
        <x:v>0.8</x:v>
      </x:c>
      <x:c r="V20" s="20">
        <x:v>0.08</x:v>
      </x:c>
      <x:c r="W20" s="20">
        <x:v>0</x:v>
      </x:c>
      <x:c r="X20" s="20">
        <x:v>0.03</x:v>
      </x:c>
      <x:c r="Y20" s="20">
        <x:v>0</x:v>
      </x:c>
      <x:c r="Z20" s="20">
        <x:v>0</x:v>
      </x:c>
      <x:c r="AA20" s="20">
        <x:v>0</x:v>
      </x:c>
      <x:c r="AB20" s="20">
        <x:v>0</x:v>
      </x:c>
      <x:c r="AC20" s="20">
        <x:v>0</x:v>
      </x:c>
      <x:c r="AD20" s="20">
        <x:v>0</x:v>
      </x:c>
      <x:c r="AE20" s="20">
        <x:v>0</x:v>
      </x:c>
      <x:c r="AF20" s="20">
        <x:v>0</x:v>
      </x:c>
      <x:c r="AG20" s="20">
        <x:v>0</x:v>
      </x:c>
      <x:c r="AH20" s="20">
        <x:v>0</x:v>
      </x:c>
      <x:c r="AI20" s="20">
        <x:v>0</x:v>
      </x:c>
      <x:c r="AJ20" s="20">
        <x:v>0</x:v>
      </x:c>
      <x:c r="AK20" s="20">
        <x:v>0</x:v>
      </x:c>
      <x:c r="AL20" s="20">
        <x:v>0.8</x:v>
      </x:c>
      <x:c r="AM20" s="20">
        <x:v>0</x:v>
      </x:c>
      <x:c r="AN20" s="20">
        <x:v>0</x:v>
      </x:c>
      <x:c r="AO20" s="20">
        <x:v>0</x:v>
      </x:c>
      <x:c r="AP20" s="20">
        <x:v>0.05</x:v>
      </x:c>
      <x:c r="AQ20" s="20">
        <x:v>0</x:v>
      </x:c>
      <x:c r="AR20" s="20">
        <x:v>2.8679999999999994</x:v>
      </x:c>
      <x:c r="AS20" s="12">
        <x:v>13.341999999999999</x:v>
      </x:c>
      <x:c r="AT20" s="28" t="s">
        <x:v>323</x:v>
      </x:c>
    </x:row>
    <x:row r="21" ht="15">
      <x:c r="A21" s="26">
        <x:v>19</x:v>
      </x:c>
      <x:c r="B21" s="19" t="s">
        <x:v>252</x:v>
      </x:c>
      <x:c r="C21" s="20">
        <x:v>3.5000000000000003E-2</x:v>
      </x:c>
      <x:c r="D21" s="20">
        <x:v>2.1999999999999999E-2</x:v>
      </x:c>
      <x:c r="E21" s="20">
        <x:v>1.6E-2</x:v>
      </x:c>
      <x:c r="F21" s="20">
        <x:v>3.5000000000000003E-2</x:v>
      </x:c>
      <x:c r="G21" s="20">
        <x:v>1.2E-2</x:v>
      </x:c>
      <x:c r="H21" s="20">
        <x:v>8.0000000000000002E-3</x:v>
      </x:c>
      <x:c r="I21" s="20">
        <x:v>0.02</x:v>
      </x:c>
      <x:c r="J21" s="20">
        <x:v>2.5000000000000001E-2</x:v>
      </x:c>
      <x:c r="K21" s="20">
        <x:v>2.5000000000000001E-2</x:v>
      </x:c>
      <x:c r="L21" s="20">
        <x:v>0.04</x:v>
      </x:c>
      <x:c r="M21" s="20">
        <x:v>0.22</x:v>
      </x:c>
      <x:c r="N21" s="20">
        <x:v>0.08</x:v>
      </x:c>
      <x:c r="O21" s="20">
        <x:v>0.05</x:v>
      </x:c>
      <x:c r="P21" s="20">
        <x:v>0.18</x:v>
      </x:c>
      <x:c r="Q21" s="20">
        <x:v>0.08</x:v>
      </x:c>
      <x:c r="R21" s="20">
        <x:v>0</x:v>
      </x:c>
      <x:c r="S21" s="20">
        <x:v>0</x:v>
      </x:c>
      <x:c r="T21" s="20">
        <x:v>0.03</x:v>
      </x:c>
      <x:c r="U21" s="20">
        <x:v>0.7</x:v>
      </x:c>
      <x:c r="V21" s="20">
        <x:v>0.05</x:v>
      </x:c>
      <x:c r="W21" s="20">
        <x:v>0.25</x:v>
      </x:c>
      <x:c r="X21" s="20">
        <x:v>0</x:v>
      </x:c>
      <x:c r="Y21" s="20">
        <x:v>0</x:v>
      </x:c>
      <x:c r="Z21" s="20">
        <x:v>0</x:v>
      </x:c>
      <x:c r="AA21" s="20">
        <x:v>0</x:v>
      </x:c>
      <x:c r="AB21" s="20">
        <x:v>0</x:v>
      </x:c>
      <x:c r="AC21" s="20">
        <x:v>0</x:v>
      </x:c>
      <x:c r="AD21" s="20">
        <x:v>0</x:v>
      </x:c>
      <x:c r="AE21" s="20">
        <x:v>0</x:v>
      </x:c>
      <x:c r="AF21" s="20">
        <x:v>0</x:v>
      </x:c>
      <x:c r="AG21" s="20">
        <x:v>0</x:v>
      </x:c>
      <x:c r="AH21" s="20">
        <x:v>0</x:v>
      </x:c>
      <x:c r="AI21" s="20">
        <x:v>0</x:v>
      </x:c>
      <x:c r="AJ21" s="20">
        <x:v>0</x:v>
      </x:c>
      <x:c r="AK21" s="20">
        <x:v>0</x:v>
      </x:c>
      <x:c r="AL21" s="20">
        <x:v>0.8</x:v>
      </x:c>
      <x:c r="AM21" s="20">
        <x:v>0</x:v>
      </x:c>
      <x:c r="AN21" s="20">
        <x:v>0</x:v>
      </x:c>
      <x:c r="AO21" s="20">
        <x:v>0</x:v>
      </x:c>
      <x:c r="AP21" s="20">
        <x:v>0.05</x:v>
      </x:c>
      <x:c r="AQ21" s="20">
        <x:v>0</x:v>
      </x:c>
      <x:c r="AR21" s="20">
        <x:v>2.7279999999999998</x:v>
      </x:c>
      <x:c r="AS21" s="12">
        <x:v>16.07</x:v>
      </x:c>
      <x:c r="AT21" s="28" t="s">
        <x:v>324</x:v>
      </x:c>
    </x:row>
    <x:row r="22" ht="15">
      <x:c r="A22" s="26">
        <x:v>20</x:v>
      </x:c>
      <x:c r="B22" s="19" t="s">
        <x:v>254</x:v>
      </x:c>
      <x:c r="C22" s="20">
        <x:v>3.5000000000000003E-2</x:v>
      </x:c>
      <x:c r="D22" s="20">
        <x:v>2.1999999999999999E-2</x:v>
      </x:c>
      <x:c r="E22" s="20">
        <x:v>1.6E-2</x:v>
      </x:c>
      <x:c r="F22" s="20">
        <x:v>3.5000000000000003E-2</x:v>
      </x:c>
      <x:c r="G22" s="20">
        <x:v>1.2E-2</x:v>
      </x:c>
      <x:c r="H22" s="20">
        <x:v>8.0000000000000002E-3</x:v>
      </x:c>
      <x:c r="I22" s="20">
        <x:v>0.02</x:v>
      </x:c>
      <x:c r="J22" s="20">
        <x:v>2.5000000000000001E-2</x:v>
      </x:c>
      <x:c r="K22" s="20">
        <x:v>2.5000000000000001E-2</x:v>
      </x:c>
      <x:c r="L22" s="20">
        <x:v>0</x:v>
      </x:c>
      <x:c r="M22" s="20">
        <x:v>0.22</x:v>
      </x:c>
      <x:c r="N22" s="20">
        <x:v>0.08</x:v>
      </x:c>
      <x:c r="O22" s="20">
        <x:v>0.05</x:v>
      </x:c>
      <x:c r="P22" s="20">
        <x:v>0.18</x:v>
      </x:c>
      <x:c r="Q22" s="20">
        <x:v>0.08</x:v>
      </x:c>
      <x:c r="R22" s="20">
        <x:v>0.06</x:v>
      </x:c>
      <x:c r="S22" s="20">
        <x:v>0</x:v>
      </x:c>
      <x:c r="T22" s="20">
        <x:v>0.03</x:v>
      </x:c>
      <x:c r="U22" s="20">
        <x:v>0</x:v>
      </x:c>
      <x:c r="V22" s="20">
        <x:v>0</x:v>
      </x:c>
      <x:c r="W22" s="20">
        <x:v>0</x:v>
      </x:c>
      <x:c r="X22" s="20">
        <x:v>0.05</x:v>
      </x:c>
      <x:c r="Y22" s="20">
        <x:v>0</x:v>
      </x:c>
      <x:c r="Z22" s="20">
        <x:v>0.02</x:v>
      </x:c>
      <x:c r="AA22" s="20">
        <x:v>0</x:v>
      </x:c>
      <x:c r="AB22" s="20">
        <x:v>0</x:v>
      </x:c>
      <x:c r="AC22" s="20">
        <x:v>0.15</x:v>
      </x:c>
      <x:c r="AD22" s="20">
        <x:v>0</x:v>
      </x:c>
      <x:c r="AE22" s="20">
        <x:v>0</x:v>
      </x:c>
      <x:c r="AF22" s="20">
        <x:v>0</x:v>
      </x:c>
      <x:c r="AG22" s="20">
        <x:v>0</x:v>
      </x:c>
      <x:c r="AH22" s="20">
        <x:v>0</x:v>
      </x:c>
      <x:c r="AI22" s="20">
        <x:v>0</x:v>
      </x:c>
      <x:c r="AJ22" s="20">
        <x:v>0</x:v>
      </x:c>
      <x:c r="AK22" s="20">
        <x:v>0</x:v>
      </x:c>
      <x:c r="AL22" s="20">
        <x:v>0.8</x:v>
      </x:c>
      <x:c r="AM22" s="20">
        <x:v>0</x:v>
      </x:c>
      <x:c r="AN22" s="20">
        <x:v>0.25</x:v>
      </x:c>
      <x:c r="AO22" s="20">
        <x:v>0</x:v>
      </x:c>
      <x:c r="AP22" s="20">
        <x:v>0.05</x:v>
      </x:c>
      <x:c r="AQ22" s="20">
        <x:v>0</x:v>
      </x:c>
      <x:c r="AR22" s="20">
        <x:v>2.218</x:v>
      </x:c>
      <x:c r="AS22" s="12">
        <x:v>18.288</x:v>
      </x:c>
      <x:c r="AT22" s="28" t="s">
        <x:v>325</x:v>
      </x:c>
    </x:row>
    <x:row r="23" ht="15">
      <x:c r="A23" s="26">
        <x:v>21</x:v>
      </x:c>
      <x:c r="B23" s="19" t="s">
        <x:v>256</x:v>
      </x:c>
      <x:c r="C23" s="20">
        <x:v>3.5000000000000003E-2</x:v>
      </x:c>
      <x:c r="D23" s="20">
        <x:v>2.1999999999999999E-2</x:v>
      </x:c>
      <x:c r="E23" s="20">
        <x:v>1.6E-2</x:v>
      </x:c>
      <x:c r="F23" s="20">
        <x:v>3.5000000000000003E-2</x:v>
      </x:c>
      <x:c r="G23" s="20">
        <x:v>1.2E-2</x:v>
      </x:c>
      <x:c r="H23" s="20">
        <x:v>8.0000000000000002E-3</x:v>
      </x:c>
      <x:c r="I23" s="20">
        <x:v>0.02</x:v>
      </x:c>
      <x:c r="J23" s="20">
        <x:v>2.5000000000000001E-2</x:v>
      </x:c>
      <x:c r="K23" s="20">
        <x:v>2.5000000000000001E-2</x:v>
      </x:c>
      <x:c r="L23" s="20">
        <x:v>0</x:v>
      </x:c>
      <x:c r="M23" s="20">
        <x:v>0.22</x:v>
      </x:c>
      <x:c r="N23" s="20">
        <x:v>0.08</x:v>
      </x:c>
      <x:c r="O23" s="20">
        <x:v>0.05</x:v>
      </x:c>
      <x:c r="P23" s="20">
        <x:v>0.18</x:v>
      </x:c>
      <x:c r="Q23" s="20">
        <x:v>0.08</x:v>
      </x:c>
      <x:c r="R23" s="20">
        <x:v>0.06</x:v>
      </x:c>
      <x:c r="S23" s="20">
        <x:v>0</x:v>
      </x:c>
      <x:c r="T23" s="20">
        <x:v>0.03</x:v>
      </x:c>
      <x:c r="U23" s="20">
        <x:v>0</x:v>
      </x:c>
      <x:c r="V23" s="20">
        <x:v>0</x:v>
      </x:c>
      <x:c r="W23" s="20">
        <x:v>0</x:v>
      </x:c>
      <x:c r="X23" s="20">
        <x:v>0</x:v>
      </x:c>
      <x:c r="Y23" s="20">
        <x:v>0.6</x:v>
      </x:c>
      <x:c r="Z23" s="20">
        <x:v>0</x:v>
      </x:c>
      <x:c r="AA23" s="20">
        <x:v>0.12</x:v>
      </x:c>
      <x:c r="AB23" s="20">
        <x:v>0</x:v>
      </x:c>
      <x:c r="AC23" s="20">
        <x:v>0</x:v>
      </x:c>
      <x:c r="AD23" s="20">
        <x:v>0</x:v>
      </x:c>
      <x:c r="AE23" s="20">
        <x:v>0.05</x:v>
      </x:c>
      <x:c r="AF23" s="20">
        <x:v>0</x:v>
      </x:c>
      <x:c r="AG23" s="20">
        <x:v>0</x:v>
      </x:c>
      <x:c r="AH23" s="20">
        <x:v>0</x:v>
      </x:c>
      <x:c r="AI23" s="20">
        <x:v>0</x:v>
      </x:c>
      <x:c r="AJ23" s="20">
        <x:v>0</x:v>
      </x:c>
      <x:c r="AK23" s="20">
        <x:v>0</x:v>
      </x:c>
      <x:c r="AL23" s="20">
        <x:v>0.8</x:v>
      </x:c>
      <x:c r="AM23" s="20">
        <x:v>0</x:v>
      </x:c>
      <x:c r="AN23" s="20">
        <x:v>0.25</x:v>
      </x:c>
      <x:c r="AO23" s="20">
        <x:v>0.06</x:v>
      </x:c>
      <x:c r="AP23" s="20">
        <x:v>0.05</x:v>
      </x:c>
      <x:c r="AQ23" s="20">
        <x:v>0</x:v>
      </x:c>
      <x:c r="AR23" s="20">
        <x:v>2.8279999999999998</x:v>
      </x:c>
      <x:c r="AS23" s="12">
        <x:v>21.116</x:v>
      </x:c>
      <x:c r="AT23" s="28" t="s">
        <x:v>326</x:v>
      </x:c>
    </x:row>
    <x:row r="24" ht="15">
      <x:c r="A24" s="26">
        <x:v>22</x:v>
      </x:c>
      <x:c r="B24" s="19" t="s">
        <x:v>258</x:v>
      </x:c>
      <x:c r="C24" s="20">
        <x:v>3.5000000000000003E-2</x:v>
      </x:c>
      <x:c r="D24" s="20">
        <x:v>2.1999999999999999E-2</x:v>
      </x:c>
      <x:c r="E24" s="20">
        <x:v>1.6E-2</x:v>
      </x:c>
      <x:c r="F24" s="20">
        <x:v>3.5000000000000003E-2</x:v>
      </x:c>
      <x:c r="G24" s="20">
        <x:v>1.2E-2</x:v>
      </x:c>
      <x:c r="H24" s="20">
        <x:v>8.0000000000000002E-3</x:v>
      </x:c>
      <x:c r="I24" s="20">
        <x:v>0.02</x:v>
      </x:c>
      <x:c r="J24" s="20">
        <x:v>2.5000000000000001E-2</x:v>
      </x:c>
      <x:c r="K24" s="20">
        <x:v>2.5000000000000001E-2</x:v>
      </x:c>
      <x:c r="L24" s="20">
        <x:v>0.03</x:v>
      </x:c>
      <x:c r="M24" s="20">
        <x:v>0.16</x:v>
      </x:c>
      <x:c r="N24" s="20">
        <x:v>0.06</x:v>
      </x:c>
      <x:c r="O24" s="20">
        <x:v>0.04</x:v>
      </x:c>
      <x:c r="P24" s="20">
        <x:v>0.12</x:v>
      </x:c>
      <x:c r="Q24" s="20">
        <x:v>0.08</x:v>
      </x:c>
      <x:c r="R24" s="20">
        <x:v>0</x:v>
      </x:c>
      <x:c r="S24" s="20">
        <x:v>0</x:v>
      </x:c>
      <x:c r="T24" s="20">
        <x:v>0.03</x:v>
      </x:c>
      <x:c r="U24" s="20">
        <x:v>0</x:v>
      </x:c>
      <x:c r="V24" s="20">
        <x:v>0</x:v>
      </x:c>
      <x:c r="W24" s="20">
        <x:v>0</x:v>
      </x:c>
      <x:c r="X24" s="20">
        <x:v>0</x:v>
      </x:c>
      <x:c r="Y24" s="20">
        <x:v>0.3</x:v>
      </x:c>
      <x:c r="Z24" s="20">
        <x:v>0</x:v>
      </x:c>
      <x:c r="AA24" s="20">
        <x:v>0</x:v>
      </x:c>
      <x:c r="AB24" s="20">
        <x:v>0.25</x:v>
      </x:c>
      <x:c r="AC24" s="20">
        <x:v>0</x:v>
      </x:c>
      <x:c r="AD24" s="20">
        <x:v>0</x:v>
      </x:c>
      <x:c r="AE24" s="20">
        <x:v>0</x:v>
      </x:c>
      <x:c r="AF24" s="20">
        <x:v>0</x:v>
      </x:c>
      <x:c r="AG24" s="20">
        <x:v>0.06</x:v>
      </x:c>
      <x:c r="AH24" s="20">
        <x:v>0</x:v>
      </x:c>
      <x:c r="AI24" s="20">
        <x:v>0</x:v>
      </x:c>
      <x:c r="AJ24" s="20">
        <x:v>0</x:v>
      </x:c>
      <x:c r="AK24" s="20">
        <x:v>0</x:v>
      </x:c>
      <x:c r="AL24" s="20">
        <x:v>0.8</x:v>
      </x:c>
      <x:c r="AM24" s="20">
        <x:v>0.16</x:v>
      </x:c>
      <x:c r="AN24" s="20">
        <x:v>0.25</x:v>
      </x:c>
      <x:c r="AO24" s="20">
        <x:v>0.06</x:v>
      </x:c>
      <x:c r="AP24" s="20">
        <x:v>0.05</x:v>
      </x:c>
      <x:c r="AQ24" s="20">
        <x:v>0.12</x:v>
      </x:c>
      <x:c r="AR24" s="20">
        <x:v>2.7680000000000002</x:v>
      </x:c>
      <x:c r="AS24" s="12">
        <x:v>23.884</x:v>
      </x:c>
      <x:c r="AT24" s="28" t="s">
        <x:v>327</x:v>
      </x:c>
    </x:row>
    <x:row r="25" ht="15">
      <x:c r="A25" s="33">
        <x:v>23</x:v>
      </x:c>
      <x:c r="B25" s="34" t="s">
        <x:v>260</x:v>
      </x:c>
      <x:c r="C25" s="35">
        <x:v>3.5000000000000003E-2</x:v>
      </x:c>
      <x:c r="D25" s="35">
        <x:v>2.1999999999999999E-2</x:v>
      </x:c>
      <x:c r="E25" s="35">
        <x:v>1.6E-2</x:v>
      </x:c>
      <x:c r="F25" s="35">
        <x:v>3.5000000000000003E-2</x:v>
      </x:c>
      <x:c r="G25" s="35">
        <x:v>1.2E-2</x:v>
      </x:c>
      <x:c r="H25" s="35">
        <x:v>8.0000000000000002E-3</x:v>
      </x:c>
      <x:c r="I25" s="35">
        <x:v>0.02</x:v>
      </x:c>
      <x:c r="J25" s="35">
        <x:v>2.5000000000000001E-2</x:v>
      </x:c>
      <x:c r="K25" s="35">
        <x:v>2.5000000000000001E-2</x:v>
      </x:c>
      <x:c r="L25" s="35">
        <x:v>0</x:v>
      </x:c>
      <x:c r="M25" s="35">
        <x:v>0.08</x:v>
      </x:c>
      <x:c r="N25" s="35">
        <x:v>0</x:v>
      </x:c>
      <x:c r="O25" s="35">
        <x:v>0</x:v>
      </x:c>
      <x:c r="P25" s="35">
        <x:v>0</x:v>
      </x:c>
      <x:c r="Q25" s="35">
        <x:v>0.06</x:v>
      </x:c>
      <x:c r="R25" s="35">
        <x:v>0</x:v>
      </x:c>
      <x:c r="S25" s="35">
        <x:v>0</x:v>
      </x:c>
      <x:c r="T25" s="35">
        <x:v>0</x:v>
      </x:c>
      <x:c r="U25" s="35">
        <x:v>0</x:v>
      </x:c>
      <x:c r="V25" s="35">
        <x:v>0</x:v>
      </x:c>
      <x:c r="W25" s="35">
        <x:v>0</x:v>
      </x:c>
      <x:c r="X25" s="35">
        <x:v>0</x:v>
      </x:c>
      <x:c r="Y25" s="35">
        <x:v>0</x:v>
      </x:c>
      <x:c r="Z25" s="35">
        <x:v>0</x:v>
      </x:c>
      <x:c r="AA25" s="35">
        <x:v>0</x:v>
      </x:c>
      <x:c r="AB25" s="35">
        <x:v>0.2</x:v>
      </x:c>
      <x:c r="AC25" s="35">
        <x:v>0</x:v>
      </x:c>
      <x:c r="AD25" s="35">
        <x:v>0</x:v>
      </x:c>
      <x:c r="AE25" s="35">
        <x:v>0</x:v>
      </x:c>
      <x:c r="AF25" s="35">
        <x:v>0</x:v>
      </x:c>
      <x:c r="AG25" s="35">
        <x:v>0</x:v>
      </x:c>
      <x:c r="AH25" s="35">
        <x:v>0</x:v>
      </x:c>
      <x:c r="AI25" s="35">
        <x:v>0</x:v>
      </x:c>
      <x:c r="AJ25" s="35">
        <x:v>0</x:v>
      </x:c>
      <x:c r="AK25" s="35">
        <x:v>0</x:v>
      </x:c>
      <x:c r="AL25" s="35">
        <x:v>0.5</x:v>
      </x:c>
      <x:c r="AM25" s="35">
        <x:v>0.16</x:v>
      </x:c>
      <x:c r="AN25" s="35">
        <x:v>0</x:v>
      </x:c>
      <x:c r="AO25" s="35">
        <x:v>0.06</x:v>
      </x:c>
      <x:c r="AP25" s="35">
        <x:v>0.05</x:v>
      </x:c>
      <x:c r="AQ25" s="35">
        <x:v>0</x:v>
      </x:c>
      <x:c r="AR25" s="35">
        <x:v>1.3080000000000001</x:v>
      </x:c>
      <x:c r="AS25" s="37">
        <x:v>25.192</x:v>
      </x:c>
      <x:c r="AT25" s="36" t="s">
        <x:v>328</x:v>
      </x:c>
    </x:row>
    <x:row r="26" ht="15">
      <x:c r="A26" s="24" t="s">
        <x:v>262</x:v>
      </x:c>
      <x:c r="B26" s="25"/>
      <x:c r="C26" s="22" t="n">
        <x:f>SUM(C2:C25)</x:f>
        <x:v>0.8400000000000005</x:v>
      </x:c>
      <x:c r="D26" s="22" t="n">
        <x:f t="shared" ref="D26:AR26" si="0">SUM(D2:D25)</x:f>
        <x:v>0.5280000000000001</x:v>
      </x:c>
      <x:c r="E26" s="22">
        <x:f t="shared" si="0"/>
        <x:v>0.38400000000000023</x:v>
      </x:c>
      <x:c r="F26" s="22">
        <x:f t="shared" si="0"/>
        <x:v>0.75000000000000044</x:v>
      </x:c>
      <x:c r="G26" s="22">
        <x:f t="shared" si="0"/>
        <x:v>0.28800000000000009</x:v>
      </x:c>
      <x:c r="H26" s="22">
        <x:f t="shared" si="0"/>
        <x:v>0.19200000000000012</x:v>
      </x:c>
      <x:c r="I26" s="22">
        <x:f t="shared" si="0"/>
        <x:v>0.48000000000000015</x:v>
      </x:c>
      <x:c r="J26" s="22">
        <x:f t="shared" si="0"/>
        <x:v>0.6000000000000002</x:v>
      </x:c>
      <x:c r="K26" s="22">
        <x:f t="shared" si="0"/>
        <x:v>0.45000000000000012</x:v>
      </x:c>
      <x:c r="L26" s="22">
        <x:f t="shared" si="0"/>
        <x:v>0.17</x:v>
      </x:c>
      <x:c r="M26" s="22">
        <x:f t="shared" si="0"/>
        <x:v>1.5</x:v>
      </x:c>
      <x:c r="N26" s="22">
        <x:f t="shared" si="0"/>
        <x:v>0.49000000000000005</x:v>
      </x:c>
      <x:c r="O26" s="22">
        <x:f t="shared" si="0"/>
        <x:v>0.19000000000000003</x:v>
      </x:c>
      <x:c r="P26" s="22">
        <x:f t="shared" si="0"/>
        <x:v>1.04</x:v>
      </x:c>
      <x:c r="Q26" s="22">
        <x:f t="shared" si="0"/>
        <x:v>0.58000000000000007</x:v>
      </x:c>
      <x:c r="R26" s="22">
        <x:f t="shared" si="0"/>
        <x:v>0.12</x:v>
      </x:c>
      <x:c r="S26" s="22">
        <x:f t="shared" si="0"/>
        <x:v>0.6</x:v>
      </x:c>
      <x:c r="T26" s="22">
        <x:f t="shared" si="0"/>
        <x:v>0.4800000000000002</x:v>
      </x:c>
      <x:c r="U26" s="22">
        <x:f t="shared" si="0"/>
        <x:v>2.0499999999999998</x:v>
      </x:c>
      <x:c r="V26" s="22">
        <x:f t="shared" si="0"/>
        <x:v>0.16999999999999998</x:v>
      </x:c>
      <x:c r="W26" s="22">
        <x:f t="shared" si="0"/>
        <x:v>0.25</x:v>
      </x:c>
      <x:c r="X26" s="22">
        <x:f t="shared" si="0"/>
        <x:v>0.25</x:v>
      </x:c>
      <x:c r="Y26" s="22">
        <x:f t="shared" si="0"/>
        <x:v>0.89999999999999991</x:v>
      </x:c>
      <x:c r="Z26" s="22">
        <x:f t="shared" si="0"/>
        <x:v>0.02</x:v>
      </x:c>
      <x:c r="AA26" s="22">
        <x:f t="shared" si="0"/>
        <x:v>0.12</x:v>
      </x:c>
      <x:c r="AB26" s="22">
        <x:f t="shared" si="0"/>
        <x:v>0.45</x:v>
      </x:c>
      <x:c r="AC26" s="22">
        <x:f t="shared" si="0"/>
        <x:v>0.15</x:v>
      </x:c>
      <x:c r="AD26" s="22">
        <x:f t="shared" si="0"/>
        <x:v>0.05</x:v>
      </x:c>
      <x:c r="AE26" s="22">
        <x:f t="shared" si="0"/>
        <x:v>0.05</x:v>
      </x:c>
      <x:c r="AF26" s="22">
        <x:f t="shared" si="0"/>
        <x:v>0</x:v>
      </x:c>
      <x:c r="AG26" s="22">
        <x:f t="shared" si="0"/>
        <x:v>0.21</x:v>
      </x:c>
      <x:c r="AH26" s="22">
        <x:f t="shared" si="0"/>
        <x:v>0</x:v>
      </x:c>
      <x:c r="AI26" s="22">
        <x:f t="shared" si="0"/>
        <x:v>0</x:v>
      </x:c>
      <x:c r="AJ26" s="22">
        <x:f t="shared" si="0"/>
        <x:v>0</x:v>
      </x:c>
      <x:c r="AK26" s="22">
        <x:f t="shared" si="0"/>
        <x:v>0</x:v>
      </x:c>
      <x:c r="AL26" s="22">
        <x:f t="shared" si="0"/>
        <x:v>6.7499999999999991</x:v>
      </x:c>
      <x:c r="AM26" s="22">
        <x:f t="shared" si="0"/>
        <x:v>1.52</x:v>
      </x:c>
      <x:c r="AN26" s="22">
        <x:f t="shared" si="0"/>
        <x:v>0.9</x:v>
      </x:c>
      <x:c r="AO26" s="22">
        <x:f t="shared" si="0"/>
        <x:v>0.66000000000000014</x:v>
      </x:c>
      <x:c r="AP26" s="22">
        <x:f t="shared" si="0"/>
        <x:v>0.59</x:v>
      </x:c>
      <x:c r="AQ26" s="22">
        <x:f t="shared" si="0"/>
        <x:v>0.42</x:v>
      </x:c>
      <x:c r="AR26" s="22">
        <x:f t="shared" si="0"/>
        <x:v>25.192</x:v>
      </x:c>
      <x:c r="AS26" s="22"/>
      <x:c r="AT26" s="10"/>
    </x:row>
  </x:sheetData>
  <x:mergeCells>
    <x:mergeCell ref="A26:B26"/>
  </x:mergeCells>
  <x:conditionalFormatting sqref="AT12:AT17 A12:AR17">
    <x:cfRule type="expression" dxfId="3" priority="1">
      <x:formula>#REF!=1</x:formula>
    </x:cfRule>
    <x:cfRule type="expression" dxfId="2" priority="2">
      <x:formula>#REF!=2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f9a6e653ad3419c"/>
  </x:tableParts>
</x:worksheet>
</file>

<file path=xl/worksheets/sheet8.xml><?xml version="1.0" encoding="utf-8"?>
<x:worksheet xmlns:x="http://schemas.openxmlformats.org/spreadsheetml/2006/main">
  <x:sheetFormatPr defaultRowHeight="14.25"/>
  <x:cols>
    <x:col min="1" max="1" width="5.25" style="1" customWidth="1"/>
    <x:col min="2" max="2" width="13.25" style="1" customWidth="1"/>
    <x:col min="3" max="3" width="7" style="1" customWidth="1"/>
    <x:col min="4" max="4" width="10.5" style="1" customWidth="1"/>
    <x:col min="5" max="6" width="7" style="1" customWidth="1"/>
    <x:col min="7" max="7" width="11.5" style="1" customWidth="1"/>
    <x:col min="8" max="8" width="15.375" style="1" customWidth="1"/>
    <x:col min="9" max="9" width="17.375" style="1" customWidth="1"/>
    <x:col min="10" max="10" width="6.375" style="1" customWidth="1"/>
    <x:col min="11" max="11" width="10.5" style="1" customWidth="1"/>
    <x:col min="12" max="12" width="15.375" style="1" customWidth="1"/>
    <x:col min="13" max="13" width="8.875" style="1" customWidth="1"/>
    <x:col min="14" max="14" width="6.375" style="1" customWidth="1"/>
    <x:col min="15" max="15" width="17.375" style="1" customWidth="1"/>
    <x:col min="16" max="16" width="15.375" style="1" customWidth="1"/>
    <x:col min="17" max="17" width="24.125" style="1" customWidth="1"/>
    <x:col min="18" max="18" width="8.75" style="1" customWidth="1"/>
    <x:col min="19" max="20" width="13.625" style="1" customWidth="1"/>
    <x:col min="21" max="21" width="17.375" style="1" customWidth="1"/>
    <x:col min="22" max="22" width="10.5" style="1" customWidth="1"/>
    <x:col min="23" max="23" width="17.375" style="1" customWidth="1"/>
    <x:col min="24" max="24" width="19.25" style="1" customWidth="1"/>
    <x:col min="25" max="25" width="10.5" style="1" customWidth="1"/>
    <x:col min="26" max="26" width="12.5" style="1" customWidth="1"/>
    <x:col min="27" max="27" width="7" style="1" customWidth="1"/>
    <x:col min="28" max="30" width="10.5" style="1" customWidth="1"/>
    <x:col min="31" max="31" width="15.375" style="1" customWidth="1"/>
    <x:col min="32" max="32" width="17.375" style="1" customWidth="1"/>
    <x:col min="33" max="33" width="12.5" style="1" customWidth="1"/>
    <x:col min="34" max="35" width="11.625" style="1" customWidth="1"/>
    <x:col min="36" max="36" width="17.375" style="1" customWidth="1"/>
    <x:col min="37" max="37" width="7" style="1" customWidth="1"/>
    <x:col min="38" max="38" width="12.5" style="1" customWidth="1"/>
    <x:col min="39" max="39" width="17.375" style="1" customWidth="1"/>
    <x:col min="40" max="40" width="15.375" style="1" customWidth="1"/>
    <x:col min="41" max="41" width="7" style="1" customWidth="1"/>
    <x:col min="42" max="42" width="14.375" style="1" customWidth="1"/>
    <x:col min="43" max="43" width="10.5" style="1" customWidth="1"/>
    <x:col min="44" max="44" width="18.125" style="1" customWidth="1"/>
    <x:col min="45" max="45" width="16.25" style="1" customWidth="1"/>
    <x:col min="46" max="46" width="27.875" style="1" customWidth="1"/>
    <x:col min="47" max="16384" width="9" style="1" customWidth="0"/>
  </x:cols>
  <x:sheetData>
    <x:row r="1" ht="15">
      <x:c r="A1" s="30" t="s">
        <x:v>220</x:v>
      </x:c>
      <x:c r="B1" s="31" t="s">
        <x:v>221</x:v>
      </x:c>
      <x:c r="C1" s="31" t="s">
        <x:v>46</x:v>
      </x:c>
      <x:c r="D1" s="31" t="s">
        <x:v>52</x:v>
      </x:c>
      <x:c r="E1" s="31" t="s">
        <x:v>55</x:v>
      </x:c>
      <x:c r="F1" s="31" t="s">
        <x:v>59</x:v>
      </x:c>
      <x:c r="G1" s="31" t="s">
        <x:v>64</x:v>
      </x:c>
      <x:c r="H1" s="31" t="s">
        <x:v>68</x:v>
      </x:c>
      <x:c r="I1" s="31" t="s">
        <x:v>72</x:v>
      </x:c>
      <x:c r="J1" s="31" t="s">
        <x:v>76</x:v>
      </x:c>
      <x:c r="K1" s="31" t="s">
        <x:v>81</x:v>
      </x:c>
      <x:c r="L1" s="31" t="s">
        <x:v>86</x:v>
      </x:c>
      <x:c r="M1" s="31" t="s">
        <x:v>91</x:v>
      </x:c>
      <x:c r="N1" s="31" t="s">
        <x:v>96</x:v>
      </x:c>
      <x:c r="O1" s="31" t="s">
        <x:v>100</x:v>
      </x:c>
      <x:c r="P1" s="31" t="s">
        <x:v>105</x:v>
      </x:c>
      <x:c r="Q1" s="31" t="s">
        <x:v>109</x:v>
      </x:c>
      <x:c r="R1" s="31" t="s">
        <x:v>114</x:v>
      </x:c>
      <x:c r="S1" s="31" t="s">
        <x:v>119</x:v>
      </x:c>
      <x:c r="T1" s="31" t="s">
        <x:v>122</x:v>
      </x:c>
      <x:c r="U1" s="31" t="s">
        <x:v>125</x:v>
      </x:c>
      <x:c r="V1" s="31" t="s">
        <x:v>128</x:v>
      </x:c>
      <x:c r="W1" s="31" t="s">
        <x:v>132</x:v>
      </x:c>
      <x:c r="X1" s="31" t="s">
        <x:v>136</x:v>
      </x:c>
      <x:c r="Y1" s="31" t="s">
        <x:v>140</x:v>
      </x:c>
      <x:c r="Z1" s="31" t="s">
        <x:v>143</x:v>
      </x:c>
      <x:c r="AA1" s="31" t="s">
        <x:v>148</x:v>
      </x:c>
      <x:c r="AB1" s="31" t="s">
        <x:v>152</x:v>
      </x:c>
      <x:c r="AC1" s="31" t="s">
        <x:v>156</x:v>
      </x:c>
      <x:c r="AD1" s="31" t="s">
        <x:v>160</x:v>
      </x:c>
      <x:c r="AE1" s="31" t="s">
        <x:v>164</x:v>
      </x:c>
      <x:c r="AF1" s="31" t="s">
        <x:v>168</x:v>
      </x:c>
      <x:c r="AG1" s="31" t="s">
        <x:v>172</x:v>
      </x:c>
      <x:c r="AH1" s="31" t="s">
        <x:v>176</x:v>
      </x:c>
      <x:c r="AI1" s="31" t="s">
        <x:v>181</x:v>
      </x:c>
      <x:c r="AJ1" s="31" t="s">
        <x:v>185</x:v>
      </x:c>
      <x:c r="AK1" s="31" t="s">
        <x:v>190</x:v>
      </x:c>
      <x:c r="AL1" s="31" t="s">
        <x:v>194</x:v>
      </x:c>
      <x:c r="AM1" s="31" t="s">
        <x:v>199</x:v>
      </x:c>
      <x:c r="AN1" s="31" t="s">
        <x:v>202</x:v>
      </x:c>
      <x:c r="AO1" s="31" t="s">
        <x:v>207</x:v>
      </x:c>
      <x:c r="AP1" s="31" t="s">
        <x:v>212</x:v>
      </x:c>
      <x:c r="AQ1" s="31" t="s">
        <x:v>216</x:v>
      </x:c>
      <x:c r="AR1" s="31" t="s">
        <x:v>222</x:v>
      </x:c>
      <x:c r="AS1" s="31" t="s">
        <x:v>223</x:v>
      </x:c>
      <x:c r="AT1" s="32" t="s">
        <x:v>224</x:v>
      </x:c>
    </x:row>
    <x:row r="2" ht="15">
      <x:c r="A2" s="26">
        <x:v>0</x:v>
      </x:c>
      <x:c r="B2" s="19" t="s">
        <x:v>225</x:v>
      </x:c>
      <x:c r="C2" s="20">
        <x:v>3.5000000000000003E-2</x:v>
      </x:c>
      <x:c r="D2" s="20">
        <x:v>2.1999999999999999E-2</x:v>
      </x:c>
      <x:c r="E2" s="20">
        <x:v>1.6E-2</x:v>
      </x:c>
      <x:c r="F2" s="20">
        <x:v>0.02</x:v>
      </x:c>
      <x:c r="G2" s="20">
        <x:v>1.2E-2</x:v>
      </x:c>
      <x:c r="H2" s="20">
        <x:v>8.0000000000000002E-3</x:v>
      </x:c>
      <x:c r="I2" s="20">
        <x:v>0.02</x:v>
      </x:c>
      <x:c r="J2" s="20">
        <x:v>2.5000000000000001E-2</x:v>
      </x:c>
      <x:c r="K2" s="20">
        <x:v>0</x:v>
      </x:c>
      <x:c r="L2" s="20">
        <x:v>0</x:v>
      </x:c>
      <x:c r="M2" s="20">
        <x:v>0</x:v>
      </x:c>
      <x:c r="N2" s="20">
        <x:v>0</x:v>
      </x:c>
      <x:c r="O2" s="20">
        <x:v>0</x:v>
      </x:c>
      <x:c r="P2" s="20">
        <x:v>0</x:v>
      </x:c>
      <x:c r="Q2" s="20">
        <x:v>0</x:v>
      </x:c>
      <x:c r="R2" s="20">
        <x:v>0</x:v>
      </x:c>
      <x:c r="S2" s="20">
        <x:v>0</x:v>
      </x:c>
      <x:c r="T2" s="20">
        <x:v>0</x:v>
      </x:c>
      <x:c r="U2" s="20">
        <x:v>0</x:v>
      </x:c>
      <x:c r="V2" s="20">
        <x:v>0</x:v>
      </x:c>
      <x:c r="W2" s="20">
        <x:v>0</x:v>
      </x:c>
      <x:c r="X2" s="20">
        <x:v>0</x:v>
      </x:c>
      <x:c r="Y2" s="20">
        <x:v>0</x:v>
      </x:c>
      <x:c r="Z2" s="20">
        <x:v>0</x:v>
      </x:c>
      <x:c r="AA2" s="20">
        <x:v>0</x:v>
      </x:c>
      <x:c r="AB2" s="20">
        <x:v>0</x:v>
      </x:c>
      <x:c r="AC2" s="20">
        <x:v>0</x:v>
      </x:c>
      <x:c r="AD2" s="20">
        <x:v>0</x:v>
      </x:c>
      <x:c r="AE2" s="20">
        <x:v>0</x:v>
      </x:c>
      <x:c r="AF2" s="20">
        <x:v>0</x:v>
      </x:c>
      <x:c r="AG2" s="20">
        <x:v>0</x:v>
      </x:c>
      <x:c r="AH2" s="20">
        <x:v>0</x:v>
      </x:c>
      <x:c r="AI2" s="20">
        <x:v>0</x:v>
      </x:c>
      <x:c r="AJ2" s="20">
        <x:v>0</x:v>
      </x:c>
      <x:c r="AK2" s="20">
        <x:v>0</x:v>
      </x:c>
      <x:c r="AL2" s="20">
        <x:v>0.25</x:v>
      </x:c>
      <x:c r="AM2" s="20">
        <x:v>0.16</x:v>
      </x:c>
      <x:c r="AN2" s="20">
        <x:v>0</x:v>
      </x:c>
      <x:c r="AO2" s="20">
        <x:v>0.06</x:v>
      </x:c>
      <x:c r="AP2" s="20">
        <x:v>0.04</x:v>
      </x:c>
      <x:c r="AQ2" s="20">
        <x:v>0</x:v>
      </x:c>
      <x:c r="AR2" s="20">
        <x:v>0.66800000000000015</x:v>
      </x:c>
      <x:c r="AS2" s="12">
        <x:v>0.66800000000000015</x:v>
      </x:c>
      <x:c r="AT2" s="28" t="s">
        <x:v>313</x:v>
      </x:c>
    </x:row>
    <x:row r="3" ht="15">
      <x:c r="A3" s="26">
        <x:v>1</x:v>
      </x:c>
      <x:c r="B3" s="19" t="s">
        <x:v>227</x:v>
      </x:c>
      <x:c r="C3" s="20">
        <x:v>3.5000000000000003E-2</x:v>
      </x:c>
      <x:c r="D3" s="20">
        <x:v>2.1999999999999999E-2</x:v>
      </x:c>
      <x:c r="E3" s="20">
        <x:v>1.6E-2</x:v>
      </x:c>
      <x:c r="F3" s="20">
        <x:v>0.02</x:v>
      </x:c>
      <x:c r="G3" s="20">
        <x:v>1.2E-2</x:v>
      </x:c>
      <x:c r="H3" s="20">
        <x:v>8.0000000000000002E-3</x:v>
      </x:c>
      <x:c r="I3" s="20">
        <x:v>0.02</x:v>
      </x:c>
      <x:c r="J3" s="20">
        <x:v>2.5000000000000001E-2</x:v>
      </x:c>
      <x:c r="K3" s="20">
        <x:v>0</x:v>
      </x:c>
      <x:c r="L3" s="20">
        <x:v>0</x:v>
      </x:c>
      <x:c r="M3" s="20">
        <x:v>0</x:v>
      </x:c>
      <x:c r="N3" s="20">
        <x:v>0</x:v>
      </x:c>
      <x:c r="O3" s="20">
        <x:v>0</x:v>
      </x:c>
      <x:c r="P3" s="20">
        <x:v>0</x:v>
      </x:c>
      <x:c r="Q3" s="20">
        <x:v>0</x:v>
      </x:c>
      <x:c r="R3" s="20">
        <x:v>0</x:v>
      </x:c>
      <x:c r="S3" s="20">
        <x:v>0</x:v>
      </x:c>
      <x:c r="T3" s="20">
        <x:v>0</x:v>
      </x:c>
      <x:c r="U3" s="20">
        <x:v>0</x:v>
      </x:c>
      <x:c r="V3" s="20">
        <x:v>0</x:v>
      </x:c>
      <x:c r="W3" s="20">
        <x:v>0</x:v>
      </x:c>
      <x:c r="X3" s="20">
        <x:v>0</x:v>
      </x:c>
      <x:c r="Y3" s="20">
        <x:v>0</x:v>
      </x:c>
      <x:c r="Z3" s="20">
        <x:v>0</x:v>
      </x:c>
      <x:c r="AA3" s="20">
        <x:v>0</x:v>
      </x:c>
      <x:c r="AB3" s="20">
        <x:v>0</x:v>
      </x:c>
      <x:c r="AC3" s="20">
        <x:v>0</x:v>
      </x:c>
      <x:c r="AD3" s="20">
        <x:v>0</x:v>
      </x:c>
      <x:c r="AE3" s="20">
        <x:v>0</x:v>
      </x:c>
      <x:c r="AF3" s="20">
        <x:v>0</x:v>
      </x:c>
      <x:c r="AG3" s="20">
        <x:v>0</x:v>
      </x:c>
      <x:c r="AH3" s="20">
        <x:v>0</x:v>
      </x:c>
      <x:c r="AI3" s="20">
        <x:v>0</x:v>
      </x:c>
      <x:c r="AJ3" s="20">
        <x:v>0</x:v>
      </x:c>
      <x:c r="AK3" s="20">
        <x:v>0</x:v>
      </x:c>
      <x:c r="AL3" s="20">
        <x:v>0</x:v>
      </x:c>
      <x:c r="AM3" s="20">
        <x:v>0.16</x:v>
      </x:c>
      <x:c r="AN3" s="20">
        <x:v>0</x:v>
      </x:c>
      <x:c r="AO3" s="20">
        <x:v>0.06</x:v>
      </x:c>
      <x:c r="AP3" s="20">
        <x:v>0</x:v>
      </x:c>
      <x:c r="AQ3" s="20">
        <x:v>0</x:v>
      </x:c>
      <x:c r="AR3" s="20">
        <x:v>0.378</x:v>
      </x:c>
      <x:c r="AS3" s="12">
        <x:v>1.0460000000000003</x:v>
      </x:c>
      <x:c r="AT3" s="28" t="s">
        <x:v>314</x:v>
      </x:c>
    </x:row>
    <x:row r="4" ht="15">
      <x:c r="A4" s="26">
        <x:v>2</x:v>
      </x:c>
      <x:c r="B4" s="19" t="s">
        <x:v>228</x:v>
      </x:c>
      <x:c r="C4" s="20">
        <x:v>3.5000000000000003E-2</x:v>
      </x:c>
      <x:c r="D4" s="20">
        <x:v>2.1999999999999999E-2</x:v>
      </x:c>
      <x:c r="E4" s="20">
        <x:v>1.6E-2</x:v>
      </x:c>
      <x:c r="F4" s="20">
        <x:v>0.02</x:v>
      </x:c>
      <x:c r="G4" s="20">
        <x:v>1.2E-2</x:v>
      </x:c>
      <x:c r="H4" s="20">
        <x:v>8.0000000000000002E-3</x:v>
      </x:c>
      <x:c r="I4" s="20">
        <x:v>0.02</x:v>
      </x:c>
      <x:c r="J4" s="20">
        <x:v>2.5000000000000001E-2</x:v>
      </x:c>
      <x:c r="K4" s="20">
        <x:v>0</x:v>
      </x:c>
      <x:c r="L4" s="20">
        <x:v>0</x:v>
      </x:c>
      <x:c r="M4" s="20">
        <x:v>0</x:v>
      </x:c>
      <x:c r="N4" s="20">
        <x:v>0</x:v>
      </x:c>
      <x:c r="O4" s="20">
        <x:v>0</x:v>
      </x:c>
      <x:c r="P4" s="20">
        <x:v>0</x:v>
      </x:c>
      <x:c r="Q4" s="20">
        <x:v>0</x:v>
      </x:c>
      <x:c r="R4" s="20">
        <x:v>0</x:v>
      </x:c>
      <x:c r="S4" s="20">
        <x:v>0</x:v>
      </x:c>
      <x:c r="T4" s="20">
        <x:v>0</x:v>
      </x:c>
      <x:c r="U4" s="20">
        <x:v>0</x:v>
      </x:c>
      <x:c r="V4" s="20">
        <x:v>0</x:v>
      </x:c>
      <x:c r="W4" s="20">
        <x:v>0</x:v>
      </x:c>
      <x:c r="X4" s="20">
        <x:v>0</x:v>
      </x:c>
      <x:c r="Y4" s="20">
        <x:v>0</x:v>
      </x:c>
      <x:c r="Z4" s="20">
        <x:v>0</x:v>
      </x:c>
      <x:c r="AA4" s="20">
        <x:v>0</x:v>
      </x:c>
      <x:c r="AB4" s="20">
        <x:v>0</x:v>
      </x:c>
      <x:c r="AC4" s="20">
        <x:v>0</x:v>
      </x:c>
      <x:c r="AD4" s="20">
        <x:v>0</x:v>
      </x:c>
      <x:c r="AE4" s="20">
        <x:v>0</x:v>
      </x:c>
      <x:c r="AF4" s="20">
        <x:v>0</x:v>
      </x:c>
      <x:c r="AG4" s="20">
        <x:v>0</x:v>
      </x:c>
      <x:c r="AH4" s="20">
        <x:v>0</x:v>
      </x:c>
      <x:c r="AI4" s="20">
        <x:v>0</x:v>
      </x:c>
      <x:c r="AJ4" s="20">
        <x:v>0</x:v>
      </x:c>
      <x:c r="AK4" s="20">
        <x:v>0</x:v>
      </x:c>
      <x:c r="AL4" s="20">
        <x:v>0</x:v>
      </x:c>
      <x:c r="AM4" s="20">
        <x:v>0.16</x:v>
      </x:c>
      <x:c r="AN4" s="20">
        <x:v>0</x:v>
      </x:c>
      <x:c r="AO4" s="20">
        <x:v>0.06</x:v>
      </x:c>
      <x:c r="AP4" s="20">
        <x:v>0</x:v>
      </x:c>
      <x:c r="AQ4" s="20">
        <x:v>0</x:v>
      </x:c>
      <x:c r="AR4" s="20">
        <x:v>0.378</x:v>
      </x:c>
      <x:c r="AS4" s="12">
        <x:v>1.4240000000000004</x:v>
      </x:c>
      <x:c r="AT4" s="28" t="s">
        <x:v>314</x:v>
      </x:c>
    </x:row>
    <x:row r="5" ht="15">
      <x:c r="A5" s="26">
        <x:v>3</x:v>
      </x:c>
      <x:c r="B5" s="19" t="s">
        <x:v>229</x:v>
      </x:c>
      <x:c r="C5" s="20">
        <x:v>3.5000000000000003E-2</x:v>
      </x:c>
      <x:c r="D5" s="20">
        <x:v>2.1999999999999999E-2</x:v>
      </x:c>
      <x:c r="E5" s="20">
        <x:v>1.6E-2</x:v>
      </x:c>
      <x:c r="F5" s="20">
        <x:v>0.02</x:v>
      </x:c>
      <x:c r="G5" s="20">
        <x:v>1.2E-2</x:v>
      </x:c>
      <x:c r="H5" s="20">
        <x:v>8.0000000000000002E-3</x:v>
      </x:c>
      <x:c r="I5" s="20">
        <x:v>0.02</x:v>
      </x:c>
      <x:c r="J5" s="20">
        <x:v>2.5000000000000001E-2</x:v>
      </x:c>
      <x:c r="K5" s="20">
        <x:v>0</x:v>
      </x:c>
      <x:c r="L5" s="20">
        <x:v>0</x:v>
      </x:c>
      <x:c r="M5" s="20">
        <x:v>0</x:v>
      </x:c>
      <x:c r="N5" s="20">
        <x:v>0</x:v>
      </x:c>
      <x:c r="O5" s="20">
        <x:v>0</x:v>
      </x:c>
      <x:c r="P5" s="20">
        <x:v>0</x:v>
      </x:c>
      <x:c r="Q5" s="20">
        <x:v>0</x:v>
      </x:c>
      <x:c r="R5" s="20">
        <x:v>0</x:v>
      </x:c>
      <x:c r="S5" s="20">
        <x:v>0</x:v>
      </x:c>
      <x:c r="T5" s="20">
        <x:v>0</x:v>
      </x:c>
      <x:c r="U5" s="20">
        <x:v>0</x:v>
      </x:c>
      <x:c r="V5" s="20">
        <x:v>0</x:v>
      </x:c>
      <x:c r="W5" s="20">
        <x:v>0</x:v>
      </x:c>
      <x:c r="X5" s="20">
        <x:v>0</x:v>
      </x:c>
      <x:c r="Y5" s="20">
        <x:v>0</x:v>
      </x:c>
      <x:c r="Z5" s="20">
        <x:v>0</x:v>
      </x:c>
      <x:c r="AA5" s="20">
        <x:v>0</x:v>
      </x:c>
      <x:c r="AB5" s="20">
        <x:v>0</x:v>
      </x:c>
      <x:c r="AC5" s="20">
        <x:v>0</x:v>
      </x:c>
      <x:c r="AD5" s="20">
        <x:v>0</x:v>
      </x:c>
      <x:c r="AE5" s="20">
        <x:v>0</x:v>
      </x:c>
      <x:c r="AF5" s="20">
        <x:v>0</x:v>
      </x:c>
      <x:c r="AG5" s="20">
        <x:v>0</x:v>
      </x:c>
      <x:c r="AH5" s="20">
        <x:v>0</x:v>
      </x:c>
      <x:c r="AI5" s="20">
        <x:v>0</x:v>
      </x:c>
      <x:c r="AJ5" s="20">
        <x:v>0</x:v>
      </x:c>
      <x:c r="AK5" s="20">
        <x:v>0</x:v>
      </x:c>
      <x:c r="AL5" s="20">
        <x:v>0</x:v>
      </x:c>
      <x:c r="AM5" s="20">
        <x:v>0.16</x:v>
      </x:c>
      <x:c r="AN5" s="20">
        <x:v>0</x:v>
      </x:c>
      <x:c r="AO5" s="20">
        <x:v>0.06</x:v>
      </x:c>
      <x:c r="AP5" s="20">
        <x:v>0</x:v>
      </x:c>
      <x:c r="AQ5" s="20">
        <x:v>0</x:v>
      </x:c>
      <x:c r="AR5" s="20">
        <x:v>0.378</x:v>
      </x:c>
      <x:c r="AS5" s="12">
        <x:v>1.8020000000000005</x:v>
      </x:c>
      <x:c r="AT5" s="28" t="s">
        <x:v>314</x:v>
      </x:c>
    </x:row>
    <x:row r="6" ht="15">
      <x:c r="A6" s="26">
        <x:v>4</x:v>
      </x:c>
      <x:c r="B6" s="19" t="s">
        <x:v>230</x:v>
      </x:c>
      <x:c r="C6" s="20">
        <x:v>3.5000000000000003E-2</x:v>
      </x:c>
      <x:c r="D6" s="20">
        <x:v>2.1999999999999999E-2</x:v>
      </x:c>
      <x:c r="E6" s="20">
        <x:v>1.6E-2</x:v>
      </x:c>
      <x:c r="F6" s="20">
        <x:v>0.02</x:v>
      </x:c>
      <x:c r="G6" s="20">
        <x:v>1.2E-2</x:v>
      </x:c>
      <x:c r="H6" s="20">
        <x:v>8.0000000000000002E-3</x:v>
      </x:c>
      <x:c r="I6" s="20">
        <x:v>0.02</x:v>
      </x:c>
      <x:c r="J6" s="20">
        <x:v>2.5000000000000001E-2</x:v>
      </x:c>
      <x:c r="K6" s="20">
        <x:v>0</x:v>
      </x:c>
      <x:c r="L6" s="20">
        <x:v>0</x:v>
      </x:c>
      <x:c r="M6" s="20">
        <x:v>0</x:v>
      </x:c>
      <x:c r="N6" s="20">
        <x:v>0</x:v>
      </x:c>
      <x:c r="O6" s="20">
        <x:v>0</x:v>
      </x:c>
      <x:c r="P6" s="20">
        <x:v>0</x:v>
      </x:c>
      <x:c r="Q6" s="20">
        <x:v>0</x:v>
      </x:c>
      <x:c r="R6" s="20">
        <x:v>0</x:v>
      </x:c>
      <x:c r="S6" s="20">
        <x:v>0</x:v>
      </x:c>
      <x:c r="T6" s="20">
        <x:v>0</x:v>
      </x:c>
      <x:c r="U6" s="20">
        <x:v>0</x:v>
      </x:c>
      <x:c r="V6" s="20">
        <x:v>0</x:v>
      </x:c>
      <x:c r="W6" s="20">
        <x:v>0</x:v>
      </x:c>
      <x:c r="X6" s="20">
        <x:v>0</x:v>
      </x:c>
      <x:c r="Y6" s="20">
        <x:v>0</x:v>
      </x:c>
      <x:c r="Z6" s="20">
        <x:v>0</x:v>
      </x:c>
      <x:c r="AA6" s="20">
        <x:v>0</x:v>
      </x:c>
      <x:c r="AB6" s="20">
        <x:v>0</x:v>
      </x:c>
      <x:c r="AC6" s="20">
        <x:v>0</x:v>
      </x:c>
      <x:c r="AD6" s="20">
        <x:v>0</x:v>
      </x:c>
      <x:c r="AE6" s="20">
        <x:v>0</x:v>
      </x:c>
      <x:c r="AF6" s="20">
        <x:v>0</x:v>
      </x:c>
      <x:c r="AG6" s="20">
        <x:v>0</x:v>
      </x:c>
      <x:c r="AH6" s="20">
        <x:v>0</x:v>
      </x:c>
      <x:c r="AI6" s="20">
        <x:v>0</x:v>
      </x:c>
      <x:c r="AJ6" s="20">
        <x:v>0</x:v>
      </x:c>
      <x:c r="AK6" s="20">
        <x:v>0</x:v>
      </x:c>
      <x:c r="AL6" s="20">
        <x:v>0</x:v>
      </x:c>
      <x:c r="AM6" s="20">
        <x:v>0.16</x:v>
      </x:c>
      <x:c r="AN6" s="20">
        <x:v>0</x:v>
      </x:c>
      <x:c r="AO6" s="20">
        <x:v>0.06</x:v>
      </x:c>
      <x:c r="AP6" s="20">
        <x:v>0</x:v>
      </x:c>
      <x:c r="AQ6" s="20">
        <x:v>0</x:v>
      </x:c>
      <x:c r="AR6" s="20">
        <x:v>0.378</x:v>
      </x:c>
      <x:c r="AS6" s="12">
        <x:v>2.1800000000000006</x:v>
      </x:c>
      <x:c r="AT6" s="28" t="s">
        <x:v>314</x:v>
      </x:c>
    </x:row>
    <x:row r="7" ht="15">
      <x:c r="A7" s="26">
        <x:v>5</x:v>
      </x:c>
      <x:c r="B7" s="19" t="s">
        <x:v>231</x:v>
      </x:c>
      <x:c r="C7" s="20">
        <x:v>3.5000000000000003E-2</x:v>
      </x:c>
      <x:c r="D7" s="20">
        <x:v>2.1999999999999999E-2</x:v>
      </x:c>
      <x:c r="E7" s="20">
        <x:v>1.6E-2</x:v>
      </x:c>
      <x:c r="F7" s="20">
        <x:v>0.02</x:v>
      </x:c>
      <x:c r="G7" s="20">
        <x:v>1.2E-2</x:v>
      </x:c>
      <x:c r="H7" s="20">
        <x:v>8.0000000000000002E-3</x:v>
      </x:c>
      <x:c r="I7" s="20">
        <x:v>0.02</x:v>
      </x:c>
      <x:c r="J7" s="20">
        <x:v>2.5000000000000001E-2</x:v>
      </x:c>
      <x:c r="K7" s="20">
        <x:v>0</x:v>
      </x:c>
      <x:c r="L7" s="20">
        <x:v>0</x:v>
      </x:c>
      <x:c r="M7" s="20">
        <x:v>0</x:v>
      </x:c>
      <x:c r="N7" s="20">
        <x:v>0</x:v>
      </x:c>
      <x:c r="O7" s="20">
        <x:v>0</x:v>
      </x:c>
      <x:c r="P7" s="20">
        <x:v>0</x:v>
      </x:c>
      <x:c r="Q7" s="20">
        <x:v>0</x:v>
      </x:c>
      <x:c r="R7" s="20">
        <x:v>0</x:v>
      </x:c>
      <x:c r="S7" s="20">
        <x:v>0</x:v>
      </x:c>
      <x:c r="T7" s="20">
        <x:v>0</x:v>
      </x:c>
      <x:c r="U7" s="20">
        <x:v>0</x:v>
      </x:c>
      <x:c r="V7" s="20">
        <x:v>0</x:v>
      </x:c>
      <x:c r="W7" s="20">
        <x:v>0</x:v>
      </x:c>
      <x:c r="X7" s="20">
        <x:v>0</x:v>
      </x:c>
      <x:c r="Y7" s="20">
        <x:v>0</x:v>
      </x:c>
      <x:c r="Z7" s="20">
        <x:v>0</x:v>
      </x:c>
      <x:c r="AA7" s="20">
        <x:v>0</x:v>
      </x:c>
      <x:c r="AB7" s="20">
        <x:v>0</x:v>
      </x:c>
      <x:c r="AC7" s="20">
        <x:v>0</x:v>
      </x:c>
      <x:c r="AD7" s="20">
        <x:v>0</x:v>
      </x:c>
      <x:c r="AE7" s="20">
        <x:v>0</x:v>
      </x:c>
      <x:c r="AF7" s="20">
        <x:v>0</x:v>
      </x:c>
      <x:c r="AG7" s="20">
        <x:v>0</x:v>
      </x:c>
      <x:c r="AH7" s="20">
        <x:v>0</x:v>
      </x:c>
      <x:c r="AI7" s="20">
        <x:v>0</x:v>
      </x:c>
      <x:c r="AJ7" s="20">
        <x:v>0</x:v>
      </x:c>
      <x:c r="AK7" s="20">
        <x:v>0</x:v>
      </x:c>
      <x:c r="AL7" s="20">
        <x:v>0</x:v>
      </x:c>
      <x:c r="AM7" s="20">
        <x:v>0.16</x:v>
      </x:c>
      <x:c r="AN7" s="20">
        <x:v>0</x:v>
      </x:c>
      <x:c r="AO7" s="20">
        <x:v>0.06</x:v>
      </x:c>
      <x:c r="AP7" s="20">
        <x:v>0</x:v>
      </x:c>
      <x:c r="AQ7" s="20">
        <x:v>0</x:v>
      </x:c>
      <x:c r="AR7" s="20">
        <x:v>0.378</x:v>
      </x:c>
      <x:c r="AS7" s="12">
        <x:v>2.5580000000000007</x:v>
      </x:c>
      <x:c r="AT7" s="28" t="s">
        <x:v>314</x:v>
      </x:c>
    </x:row>
    <x:row r="8" ht="15">
      <x:c r="A8" s="26">
        <x:v>6</x:v>
      </x:c>
      <x:c r="B8" s="19" t="s">
        <x:v>232</x:v>
      </x:c>
      <x:c r="C8" s="20">
        <x:v>3.5000000000000003E-2</x:v>
      </x:c>
      <x:c r="D8" s="20">
        <x:v>2.1999999999999999E-2</x:v>
      </x:c>
      <x:c r="E8" s="20">
        <x:v>1.6E-2</x:v>
      </x:c>
      <x:c r="F8" s="20">
        <x:v>3.5000000000000003E-2</x:v>
      </x:c>
      <x:c r="G8" s="20">
        <x:v>1.2E-2</x:v>
      </x:c>
      <x:c r="H8" s="20">
        <x:v>8.0000000000000002E-3</x:v>
      </x:c>
      <x:c r="I8" s="20">
        <x:v>0.02</x:v>
      </x:c>
      <x:c r="J8" s="20">
        <x:v>2.5000000000000001E-2</x:v>
      </x:c>
      <x:c r="K8" s="20">
        <x:v>2.5000000000000001E-2</x:v>
      </x:c>
      <x:c r="L8" s="20">
        <x:v>0</x:v>
      </x:c>
      <x:c r="M8" s="20">
        <x:v>0</x:v>
      </x:c>
      <x:c r="N8" s="20">
        <x:v>0</x:v>
      </x:c>
      <x:c r="O8" s="20">
        <x:v>0</x:v>
      </x:c>
      <x:c r="P8" s="20">
        <x:v>0</x:v>
      </x:c>
      <x:c r="Q8" s="20">
        <x:v>0</x:v>
      </x:c>
      <x:c r="R8" s="20">
        <x:v>0</x:v>
      </x:c>
      <x:c r="S8" s="20">
        <x:v>0</x:v>
      </x:c>
      <x:c r="T8" s="20">
        <x:v>0</x:v>
      </x:c>
      <x:c r="U8" s="20">
        <x:v>0</x:v>
      </x:c>
      <x:c r="V8" s="20">
        <x:v>0</x:v>
      </x:c>
      <x:c r="W8" s="20">
        <x:v>0</x:v>
      </x:c>
      <x:c r="X8" s="20">
        <x:v>0</x:v>
      </x:c>
      <x:c r="Y8" s="20">
        <x:v>0</x:v>
      </x:c>
      <x:c r="Z8" s="20">
        <x:v>0</x:v>
      </x:c>
      <x:c r="AA8" s="20">
        <x:v>0</x:v>
      </x:c>
      <x:c r="AB8" s="20">
        <x:v>0</x:v>
      </x:c>
      <x:c r="AC8" s="20">
        <x:v>0</x:v>
      </x:c>
      <x:c r="AD8" s="20">
        <x:v>0</x:v>
      </x:c>
      <x:c r="AE8" s="20">
        <x:v>0</x:v>
      </x:c>
      <x:c r="AF8" s="20">
        <x:v>0</x:v>
      </x:c>
      <x:c r="AG8" s="20">
        <x:v>0</x:v>
      </x:c>
      <x:c r="AH8" s="20">
        <x:v>0</x:v>
      </x:c>
      <x:c r="AI8" s="20">
        <x:v>0</x:v>
      </x:c>
      <x:c r="AJ8" s="20">
        <x:v>0</x:v>
      </x:c>
      <x:c r="AK8" s="20">
        <x:v>0</x:v>
      </x:c>
      <x:c r="AL8" s="20">
        <x:v>0</x:v>
      </x:c>
      <x:c r="AM8" s="20">
        <x:v>0.16</x:v>
      </x:c>
      <x:c r="AN8" s="20">
        <x:v>0</x:v>
      </x:c>
      <x:c r="AO8" s="20">
        <x:v>0.06</x:v>
      </x:c>
      <x:c r="AP8" s="20">
        <x:v>0</x:v>
      </x:c>
      <x:c r="AQ8" s="20">
        <x:v>0</x:v>
      </x:c>
      <x:c r="AR8" s="20">
        <x:v>0.41799999999999998</x:v>
      </x:c>
      <x:c r="AS8" s="12">
        <x:v>2.9760000000000009</x:v>
      </x:c>
      <x:c r="AT8" s="28" t="s">
        <x:v>329</x:v>
      </x:c>
    </x:row>
    <x:row r="9" ht="15">
      <x:c r="A9" s="26">
        <x:v>7</x:v>
      </x:c>
      <x:c r="B9" s="19" t="s">
        <x:v>234</x:v>
      </x:c>
      <x:c r="C9" s="20">
        <x:v>3.5000000000000003E-2</x:v>
      </x:c>
      <x:c r="D9" s="20">
        <x:v>2.1999999999999999E-2</x:v>
      </x:c>
      <x:c r="E9" s="20">
        <x:v>1.6E-2</x:v>
      </x:c>
      <x:c r="F9" s="20">
        <x:v>3.5000000000000003E-2</x:v>
      </x:c>
      <x:c r="G9" s="20">
        <x:v>1.2E-2</x:v>
      </x:c>
      <x:c r="H9" s="20">
        <x:v>8.0000000000000002E-3</x:v>
      </x:c>
      <x:c r="I9" s="20">
        <x:v>0.02</x:v>
      </x:c>
      <x:c r="J9" s="20">
        <x:v>2.5000000000000001E-2</x:v>
      </x:c>
      <x:c r="K9" s="20">
        <x:v>2.5000000000000001E-2</x:v>
      </x:c>
      <x:c r="L9" s="20">
        <x:v>0</x:v>
      </x:c>
      <x:c r="M9" s="20">
        <x:v>0</x:v>
      </x:c>
      <x:c r="N9" s="20">
        <x:v>0</x:v>
      </x:c>
      <x:c r="O9" s="20">
        <x:v>0</x:v>
      </x:c>
      <x:c r="P9" s="20">
        <x:v>0</x:v>
      </x:c>
      <x:c r="Q9" s="20">
        <x:v>0</x:v>
      </x:c>
      <x:c r="R9" s="20">
        <x:v>0</x:v>
      </x:c>
      <x:c r="S9" s="20">
        <x:v>0</x:v>
      </x:c>
      <x:c r="T9" s="20">
        <x:v>0</x:v>
      </x:c>
      <x:c r="U9" s="20">
        <x:v>0</x:v>
      </x:c>
      <x:c r="V9" s="20">
        <x:v>0</x:v>
      </x:c>
      <x:c r="W9" s="20">
        <x:v>0</x:v>
      </x:c>
      <x:c r="X9" s="20">
        <x:v>0</x:v>
      </x:c>
      <x:c r="Y9" s="20">
        <x:v>0</x:v>
      </x:c>
      <x:c r="Z9" s="20">
        <x:v>0</x:v>
      </x:c>
      <x:c r="AA9" s="20">
        <x:v>0</x:v>
      </x:c>
      <x:c r="AB9" s="20">
        <x:v>0</x:v>
      </x:c>
      <x:c r="AC9" s="20">
        <x:v>0</x:v>
      </x:c>
      <x:c r="AD9" s="20">
        <x:v>0</x:v>
      </x:c>
      <x:c r="AE9" s="20">
        <x:v>0</x:v>
      </x:c>
      <x:c r="AF9" s="20">
        <x:v>0</x:v>
      </x:c>
      <x:c r="AG9" s="20">
        <x:v>0</x:v>
      </x:c>
      <x:c r="AH9" s="20">
        <x:v>0</x:v>
      </x:c>
      <x:c r="AI9" s="20">
        <x:v>0</x:v>
      </x:c>
      <x:c r="AJ9" s="20">
        <x:v>0</x:v>
      </x:c>
      <x:c r="AK9" s="20">
        <x:v>0</x:v>
      </x:c>
      <x:c r="AL9" s="20">
        <x:v>0.7</x:v>
      </x:c>
      <x:c r="AM9" s="20">
        <x:v>0.08</x:v>
      </x:c>
      <x:c r="AN9" s="20">
        <x:v>0</x:v>
      </x:c>
      <x:c r="AO9" s="20">
        <x:v>0.06</x:v>
      </x:c>
      <x:c r="AP9" s="20">
        <x:v>0.05</x:v>
      </x:c>
      <x:c r="AQ9" s="20">
        <x:v>0</x:v>
      </x:c>
      <x:c r="AR9" s="20">
        <x:v>1.0879999999999999</x:v>
      </x:c>
      <x:c r="AS9" s="12">
        <x:v>4.0640000000000009</x:v>
      </x:c>
      <x:c r="AT9" s="28" t="s">
        <x:v>330</x:v>
      </x:c>
    </x:row>
    <x:row r="10" ht="15">
      <x:c r="A10" s="26">
        <x:v>8</x:v>
      </x:c>
      <x:c r="B10" s="19" t="s">
        <x:v>236</x:v>
      </x:c>
      <x:c r="C10" s="20">
        <x:v>3.5000000000000003E-2</x:v>
      </x:c>
      <x:c r="D10" s="20">
        <x:v>2.1999999999999999E-2</x:v>
      </x:c>
      <x:c r="E10" s="20">
        <x:v>1.6E-2</x:v>
      </x:c>
      <x:c r="F10" s="20">
        <x:v>3.5000000000000003E-2</x:v>
      </x:c>
      <x:c r="G10" s="20">
        <x:v>1.2E-2</x:v>
      </x:c>
      <x:c r="H10" s="20">
        <x:v>8.0000000000000002E-3</x:v>
      </x:c>
      <x:c r="I10" s="20">
        <x:v>0.02</x:v>
      </x:c>
      <x:c r="J10" s="20">
        <x:v>2.5000000000000001E-2</x:v>
      </x:c>
      <x:c r="K10" s="20">
        <x:v>2.5000000000000001E-2</x:v>
      </x:c>
      <x:c r="L10" s="20">
        <x:v>0.03</x:v>
      </x:c>
      <x:c r="M10" s="20">
        <x:v>0.12</x:v>
      </x:c>
      <x:c r="N10" s="20">
        <x:v>0</x:v>
      </x:c>
      <x:c r="O10" s="20">
        <x:v>0</x:v>
      </x:c>
      <x:c r="P10" s="20">
        <x:v>0</x:v>
      </x:c>
      <x:c r="Q10" s="20">
        <x:v>0</x:v>
      </x:c>
      <x:c r="R10" s="20">
        <x:v>0</x:v>
      </x:c>
      <x:c r="S10" s="20">
        <x:v>0</x:v>
      </x:c>
      <x:c r="T10" s="20">
        <x:v>0</x:v>
      </x:c>
      <x:c r="U10" s="20">
        <x:v>0.25</x:v>
      </x:c>
      <x:c r="V10" s="20">
        <x:v>0.04</x:v>
      </x:c>
      <x:c r="W10" s="20">
        <x:v>0</x:v>
      </x:c>
      <x:c r="X10" s="20">
        <x:v>0.1</x:v>
      </x:c>
      <x:c r="Y10" s="20">
        <x:v>0</x:v>
      </x:c>
      <x:c r="Z10" s="20">
        <x:v>0</x:v>
      </x:c>
      <x:c r="AA10" s="20">
        <x:v>0</x:v>
      </x:c>
      <x:c r="AB10" s="20">
        <x:v>0</x:v>
      </x:c>
      <x:c r="AC10" s="20">
        <x:v>0</x:v>
      </x:c>
      <x:c r="AD10" s="20">
        <x:v>0</x:v>
      </x:c>
      <x:c r="AE10" s="20">
        <x:v>0</x:v>
      </x:c>
      <x:c r="AF10" s="20">
        <x:v>0</x:v>
      </x:c>
      <x:c r="AG10" s="20">
        <x:v>0</x:v>
      </x:c>
      <x:c r="AH10" s="20">
        <x:v>0</x:v>
      </x:c>
      <x:c r="AI10" s="20">
        <x:v>0</x:v>
      </x:c>
      <x:c r="AJ10" s="20">
        <x:v>0</x:v>
      </x:c>
      <x:c r="AK10" s="20">
        <x:v>0</x:v>
      </x:c>
      <x:c r="AL10" s="20">
        <x:v>0.7</x:v>
      </x:c>
      <x:c r="AM10" s="20">
        <x:v>0</x:v>
      </x:c>
      <x:c r="AN10" s="20">
        <x:v>0</x:v>
      </x:c>
      <x:c r="AO10" s="20">
        <x:v>0</x:v>
      </x:c>
      <x:c r="AP10" s="20">
        <x:v>0.05</x:v>
      </x:c>
      <x:c r="AQ10" s="20">
        <x:v>0.12</x:v>
      </x:c>
      <x:c r="AR10" s="20">
        <x:v>1.6080000000000001</x:v>
      </x:c>
      <x:c r="AS10" s="12">
        <x:v>5.6720000000000006</x:v>
      </x:c>
      <x:c r="AT10" s="28" t="s">
        <x:v>331</x:v>
      </x:c>
    </x:row>
    <x:row r="11" ht="15">
      <x:c r="A11" s="26">
        <x:v>9</x:v>
      </x:c>
      <x:c r="B11" s="19" t="s">
        <x:v>238</x:v>
      </x:c>
      <x:c r="C11" s="20">
        <x:v>3.5000000000000003E-2</x:v>
      </x:c>
      <x:c r="D11" s="20">
        <x:v>2.1999999999999999E-2</x:v>
      </x:c>
      <x:c r="E11" s="20">
        <x:v>1.6E-2</x:v>
      </x:c>
      <x:c r="F11" s="20">
        <x:v>3.5000000000000003E-2</x:v>
      </x:c>
      <x:c r="G11" s="20">
        <x:v>1.2E-2</x:v>
      </x:c>
      <x:c r="H11" s="20">
        <x:v>8.0000000000000002E-3</x:v>
      </x:c>
      <x:c r="I11" s="20">
        <x:v>0.02</x:v>
      </x:c>
      <x:c r="J11" s="20">
        <x:v>2.5000000000000001E-2</x:v>
      </x:c>
      <x:c r="K11" s="20">
        <x:v>2.5000000000000001E-2</x:v>
      </x:c>
      <x:c r="L11" s="20">
        <x:v>0.03</x:v>
      </x:c>
      <x:c r="M11" s="20">
        <x:v>0.16</x:v>
      </x:c>
      <x:c r="N11" s="20">
        <x:v>0.05</x:v>
      </x:c>
      <x:c r="O11" s="20">
        <x:v>0</x:v>
      </x:c>
      <x:c r="P11" s="20">
        <x:v>0</x:v>
      </x:c>
      <x:c r="Q11" s="20">
        <x:v>0.08</x:v>
      </x:c>
      <x:c r="R11" s="20">
        <x:v>0</x:v>
      </x:c>
      <x:c r="S11" s="20">
        <x:v>0.4</x:v>
      </x:c>
      <x:c r="T11" s="20">
        <x:v>0.03</x:v>
      </x:c>
      <x:c r="U11" s="20">
        <x:v>0.6</x:v>
      </x:c>
      <x:c r="V11" s="20">
        <x:v>0</x:v>
      </x:c>
      <x:c r="W11" s="20">
        <x:v>0</x:v>
      </x:c>
      <x:c r="X11" s="20">
        <x:v>0.12</x:v>
      </x:c>
      <x:c r="Y11" s="20">
        <x:v>0</x:v>
      </x:c>
      <x:c r="Z11" s="20">
        <x:v>0</x:v>
      </x:c>
      <x:c r="AA11" s="20">
        <x:v>0</x:v>
      </x:c>
      <x:c r="AB11" s="20">
        <x:v>0</x:v>
      </x:c>
      <x:c r="AC11" s="20">
        <x:v>0</x:v>
      </x:c>
      <x:c r="AD11" s="20">
        <x:v>0</x:v>
      </x:c>
      <x:c r="AE11" s="20">
        <x:v>0</x:v>
      </x:c>
      <x:c r="AF11" s="20">
        <x:v>0</x:v>
      </x:c>
      <x:c r="AG11" s="20">
        <x:v>0.12</x:v>
      </x:c>
      <x:c r="AH11" s="20">
        <x:v>0</x:v>
      </x:c>
      <x:c r="AI11" s="20">
        <x:v>0</x:v>
      </x:c>
      <x:c r="AJ11" s="20">
        <x:v>0</x:v>
      </x:c>
      <x:c r="AK11" s="20">
        <x:v>0</x:v>
      </x:c>
      <x:c r="AL11" s="20">
        <x:v>0.7</x:v>
      </x:c>
      <x:c r="AM11" s="20">
        <x:v>0</x:v>
      </x:c>
      <x:c r="AN11" s="20">
        <x:v>0.15</x:v>
      </x:c>
      <x:c r="AO11" s="20">
        <x:v>0</x:v>
      </x:c>
      <x:c r="AP11" s="20">
        <x:v>0.05</x:v>
      </x:c>
      <x:c r="AQ11" s="20">
        <x:v>0.12</x:v>
      </x:c>
      <x:c r="AR11" s="20">
        <x:v>2.8080000000000003</x:v>
      </x:c>
      <x:c r="AS11" s="12">
        <x:v>8.48</x:v>
      </x:c>
      <x:c r="AT11" s="28" t="s">
        <x:v>332</x:v>
      </x:c>
    </x:row>
    <x:row r="12" ht="15">
      <x:c r="A12" s="27">
        <x:v>10</x:v>
      </x:c>
      <x:c r="B12" s="19" t="s">
        <x:v>239</x:v>
      </x:c>
      <x:c r="C12" s="20">
        <x:v>3.5000000000000003E-2</x:v>
      </x:c>
      <x:c r="D12" s="20">
        <x:v>2.1999999999999999E-2</x:v>
      </x:c>
      <x:c r="E12" s="20">
        <x:v>1.6E-2</x:v>
      </x:c>
      <x:c r="F12" s="20">
        <x:v>3.5000000000000003E-2</x:v>
      </x:c>
      <x:c r="G12" s="20">
        <x:v>1.2E-2</x:v>
      </x:c>
      <x:c r="H12" s="20">
        <x:v>8.0000000000000002E-3</x:v>
      </x:c>
      <x:c r="I12" s="20">
        <x:v>0.02</x:v>
      </x:c>
      <x:c r="J12" s="20">
        <x:v>2.5000000000000001E-2</x:v>
      </x:c>
      <x:c r="K12" s="20">
        <x:v>2.5000000000000001E-2</x:v>
      </x:c>
      <x:c r="L12" s="20">
        <x:v>0</x:v>
      </x:c>
      <x:c r="M12" s="20">
        <x:v>0</x:v>
      </x:c>
      <x:c r="N12" s="20">
        <x:v>0.08</x:v>
      </x:c>
      <x:c r="O12" s="20">
        <x:v>0.05</x:v>
      </x:c>
      <x:c r="P12" s="20">
        <x:v>0.18</x:v>
      </x:c>
      <x:c r="Q12" s="20">
        <x:v>0.08</x:v>
      </x:c>
      <x:c r="R12" s="20">
        <x:v>0</x:v>
      </x:c>
      <x:c r="S12" s="20">
        <x:v>0</x:v>
      </x:c>
      <x:c r="T12" s="20">
        <x:v>0.03</x:v>
      </x:c>
      <x:c r="U12" s="20">
        <x:v>0</x:v>
      </x:c>
      <x:c r="V12" s="20">
        <x:v>0</x:v>
      </x:c>
      <x:c r="W12" s="20">
        <x:v>0</x:v>
      </x:c>
      <x:c r="X12" s="20">
        <x:v>0</x:v>
      </x:c>
      <x:c r="Y12" s="20">
        <x:v>0</x:v>
      </x:c>
      <x:c r="Z12" s="20">
        <x:v>0</x:v>
      </x:c>
      <x:c r="AA12" s="20">
        <x:v>0.25</x:v>
      </x:c>
      <x:c r="AB12" s="20">
        <x:v>0</x:v>
      </x:c>
      <x:c r="AC12" s="20">
        <x:v>0</x:v>
      </x:c>
      <x:c r="AD12" s="20">
        <x:v>0</x:v>
      </x:c>
      <x:c r="AE12" s="20">
        <x:v>0.1</x:v>
      </x:c>
      <x:c r="AF12" s="20">
        <x:v>0</x:v>
      </x:c>
      <x:c r="AG12" s="20">
        <x:v>0</x:v>
      </x:c>
      <x:c r="AH12" s="20">
        <x:v>0</x:v>
      </x:c>
      <x:c r="AI12" s="20">
        <x:v>0</x:v>
      </x:c>
      <x:c r="AJ12" s="20">
        <x:v>0</x:v>
      </x:c>
      <x:c r="AK12" s="20">
        <x:v>0</x:v>
      </x:c>
      <x:c r="AL12" s="20">
        <x:v>0.45</x:v>
      </x:c>
      <x:c r="AM12" s="20">
        <x:v>0</x:v>
      </x:c>
      <x:c r="AN12" s="20">
        <x:v>0</x:v>
      </x:c>
      <x:c r="AO12" s="20">
        <x:v>0</x:v>
      </x:c>
      <x:c r="AP12" s="20">
        <x:v>0.05</x:v>
      </x:c>
      <x:c r="AQ12" s="20">
        <x:v>0</x:v>
      </x:c>
      <x:c r="AR12" s="20">
        <x:v>1.468</x:v>
      </x:c>
      <x:c r="AS12" s="12">
        <x:v>9.9480000000000004</x:v>
      </x:c>
      <x:c r="AT12" s="29" t="s">
        <x:v>333</x:v>
      </x:c>
    </x:row>
    <x:row r="13" ht="15">
      <x:c r="A13" s="27">
        <x:v>11</x:v>
      </x:c>
      <x:c r="B13" s="19" t="s">
        <x:v>241</x:v>
      </x:c>
      <x:c r="C13" s="20">
        <x:v>3.5000000000000003E-2</x:v>
      </x:c>
      <x:c r="D13" s="20">
        <x:v>2.1999999999999999E-2</x:v>
      </x:c>
      <x:c r="E13" s="20">
        <x:v>1.6E-2</x:v>
      </x:c>
      <x:c r="F13" s="20">
        <x:v>3.5000000000000003E-2</x:v>
      </x:c>
      <x:c r="G13" s="20">
        <x:v>1.2E-2</x:v>
      </x:c>
      <x:c r="H13" s="20">
        <x:v>8.0000000000000002E-3</x:v>
      </x:c>
      <x:c r="I13" s="20">
        <x:v>0.02</x:v>
      </x:c>
      <x:c r="J13" s="20">
        <x:v>2.5000000000000001E-2</x:v>
      </x:c>
      <x:c r="K13" s="20">
        <x:v>2.5000000000000001E-2</x:v>
      </x:c>
      <x:c r="L13" s="20">
        <x:v>0</x:v>
      </x:c>
      <x:c r="M13" s="20">
        <x:v>0</x:v>
      </x:c>
      <x:c r="N13" s="20">
        <x:v>0.08</x:v>
      </x:c>
      <x:c r="O13" s="20">
        <x:v>0.05</x:v>
      </x:c>
      <x:c r="P13" s="20">
        <x:v>0.18</x:v>
      </x:c>
      <x:c r="Q13" s="20">
        <x:v>0.08</x:v>
      </x:c>
      <x:c r="R13" s="20">
        <x:v>0</x:v>
      </x:c>
      <x:c r="S13" s="20">
        <x:v>0</x:v>
      </x:c>
      <x:c r="T13" s="20">
        <x:v>0.03</x:v>
      </x:c>
      <x:c r="U13" s="20">
        <x:v>0</x:v>
      </x:c>
      <x:c r="V13" s="20">
        <x:v>0</x:v>
      </x:c>
      <x:c r="W13" s="20">
        <x:v>0</x:v>
      </x:c>
      <x:c r="X13" s="20">
        <x:v>0</x:v>
      </x:c>
      <x:c r="Y13" s="20">
        <x:v>0</x:v>
      </x:c>
      <x:c r="Z13" s="20">
        <x:v>0</x:v>
      </x:c>
      <x:c r="AA13" s="20">
        <x:v>0</x:v>
      </x:c>
      <x:c r="AB13" s="20">
        <x:v>0.7</x:v>
      </x:c>
      <x:c r="AC13" s="20">
        <x:v>0</x:v>
      </x:c>
      <x:c r="AD13" s="20">
        <x:v>0.05</x:v>
      </x:c>
      <x:c r="AE13" s="20">
        <x:v>0</x:v>
      </x:c>
      <x:c r="AF13" s="20">
        <x:v>0</x:v>
      </x:c>
      <x:c r="AG13" s="20">
        <x:v>0</x:v>
      </x:c>
      <x:c r="AH13" s="20">
        <x:v>0</x:v>
      </x:c>
      <x:c r="AI13" s="20">
        <x:v>0</x:v>
      </x:c>
      <x:c r="AJ13" s="20">
        <x:v>0</x:v>
      </x:c>
      <x:c r="AK13" s="20">
        <x:v>0</x:v>
      </x:c>
      <x:c r="AL13" s="20">
        <x:v>0.45</x:v>
      </x:c>
      <x:c r="AM13" s="20">
        <x:v>0</x:v>
      </x:c>
      <x:c r="AN13" s="20">
        <x:v>0</x:v>
      </x:c>
      <x:c r="AO13" s="20">
        <x:v>0</x:v>
      </x:c>
      <x:c r="AP13" s="20">
        <x:v>0.05</x:v>
      </x:c>
      <x:c r="AQ13" s="20">
        <x:v>0</x:v>
      </x:c>
      <x:c r="AR13" s="20">
        <x:v>1.8680000000000001</x:v>
      </x:c>
      <x:c r="AS13" s="12">
        <x:v>11.816000000000001</x:v>
      </x:c>
      <x:c r="AT13" s="29" t="s">
        <x:v>334</x:v>
      </x:c>
    </x:row>
    <x:row r="14" ht="15">
      <x:c r="A14" s="27">
        <x:v>12</x:v>
      </x:c>
      <x:c r="B14" s="19" t="s">
        <x:v>242</x:v>
      </x:c>
      <x:c r="C14" s="20">
        <x:v>3.5000000000000003E-2</x:v>
      </x:c>
      <x:c r="D14" s="20">
        <x:v>2.1999999999999999E-2</x:v>
      </x:c>
      <x:c r="E14" s="20">
        <x:v>1.6E-2</x:v>
      </x:c>
      <x:c r="F14" s="20">
        <x:v>3.5000000000000003E-2</x:v>
      </x:c>
      <x:c r="G14" s="20">
        <x:v>1.2E-2</x:v>
      </x:c>
      <x:c r="H14" s="20">
        <x:v>8.0000000000000002E-3</x:v>
      </x:c>
      <x:c r="I14" s="20">
        <x:v>0.02</x:v>
      </x:c>
      <x:c r="J14" s="20">
        <x:v>2.5000000000000001E-2</x:v>
      </x:c>
      <x:c r="K14" s="20">
        <x:v>2.5000000000000001E-2</x:v>
      </x:c>
      <x:c r="L14" s="20">
        <x:v>0.03</x:v>
      </x:c>
      <x:c r="M14" s="20">
        <x:v>0</x:v>
      </x:c>
      <x:c r="N14" s="20">
        <x:v>0.08</x:v>
      </x:c>
      <x:c r="O14" s="20">
        <x:v>0</x:v>
      </x:c>
      <x:c r="P14" s="20">
        <x:v>0.18</x:v>
      </x:c>
      <x:c r="Q14" s="20">
        <x:v>0.08</x:v>
      </x:c>
      <x:c r="R14" s="20">
        <x:v>0</x:v>
      </x:c>
      <x:c r="S14" s="20">
        <x:v>0</x:v>
      </x:c>
      <x:c r="T14" s="20">
        <x:v>0.03</x:v>
      </x:c>
      <x:c r="U14" s="20">
        <x:v>0.7</x:v>
      </x:c>
      <x:c r="V14" s="20">
        <x:v>0.08</x:v>
      </x:c>
      <x:c r="W14" s="20">
        <x:v>0</x:v>
      </x:c>
      <x:c r="X14" s="20">
        <x:v>0</x:v>
      </x:c>
      <x:c r="Y14" s="20">
        <x:v>0</x:v>
      </x:c>
      <x:c r="Z14" s="20">
        <x:v>0</x:v>
      </x:c>
      <x:c r="AA14" s="20">
        <x:v>0</x:v>
      </x:c>
      <x:c r="AB14" s="20">
        <x:v>0.6</x:v>
      </x:c>
      <x:c r="AC14" s="20">
        <x:v>0</x:v>
      </x:c>
      <x:c r="AD14" s="20">
        <x:v>0</x:v>
      </x:c>
      <x:c r="AE14" s="20">
        <x:v>0</x:v>
      </x:c>
      <x:c r="AF14" s="20">
        <x:v>0</x:v>
      </x:c>
      <x:c r="AG14" s="20">
        <x:v>0</x:v>
      </x:c>
      <x:c r="AH14" s="20">
        <x:v>0</x:v>
      </x:c>
      <x:c r="AI14" s="20">
        <x:v>0</x:v>
      </x:c>
      <x:c r="AJ14" s="20">
        <x:v>0</x:v>
      </x:c>
      <x:c r="AK14" s="20">
        <x:v>0</x:v>
      </x:c>
      <x:c r="AL14" s="20">
        <x:v>0.45</x:v>
      </x:c>
      <x:c r="AM14" s="20">
        <x:v>0</x:v>
      </x:c>
      <x:c r="AN14" s="20">
        <x:v>0</x:v>
      </x:c>
      <x:c r="AO14" s="20">
        <x:v>0</x:v>
      </x:c>
      <x:c r="AP14" s="20">
        <x:v>0.05</x:v>
      </x:c>
      <x:c r="AQ14" s="20">
        <x:v>0</x:v>
      </x:c>
      <x:c r="AR14" s="20">
        <x:v>2.4780000000000002</x:v>
      </x:c>
      <x:c r="AS14" s="12">
        <x:v>14.294</x:v>
      </x:c>
      <x:c r="AT14" s="29" t="s">
        <x:v>335</x:v>
      </x:c>
    </x:row>
    <x:row r="15" ht="15">
      <x:c r="A15" s="27">
        <x:v>13</x:v>
      </x:c>
      <x:c r="B15" s="19" t="s">
        <x:v>243</x:v>
      </x:c>
      <x:c r="C15" s="20">
        <x:v>3.5000000000000003E-2</x:v>
      </x:c>
      <x:c r="D15" s="20">
        <x:v>2.1999999999999999E-2</x:v>
      </x:c>
      <x:c r="E15" s="20">
        <x:v>1.6E-2</x:v>
      </x:c>
      <x:c r="F15" s="20">
        <x:v>3.5000000000000003E-2</x:v>
      </x:c>
      <x:c r="G15" s="20">
        <x:v>1.2E-2</x:v>
      </x:c>
      <x:c r="H15" s="20">
        <x:v>8.0000000000000002E-3</x:v>
      </x:c>
      <x:c r="I15" s="20">
        <x:v>0.02</x:v>
      </x:c>
      <x:c r="J15" s="20">
        <x:v>2.5000000000000001E-2</x:v>
      </x:c>
      <x:c r="K15" s="20">
        <x:v>2.5000000000000001E-2</x:v>
      </x:c>
      <x:c r="L15" s="20">
        <x:v>0.03</x:v>
      </x:c>
      <x:c r="M15" s="20">
        <x:v>0</x:v>
      </x:c>
      <x:c r="N15" s="20">
        <x:v>0.06</x:v>
      </x:c>
      <x:c r="O15" s="20">
        <x:v>0</x:v>
      </x:c>
      <x:c r="P15" s="20">
        <x:v>0.2</x:v>
      </x:c>
      <x:c r="Q15" s="20">
        <x:v>0.08</x:v>
      </x:c>
      <x:c r="R15" s="20">
        <x:v>0</x:v>
      </x:c>
      <x:c r="S15" s="20">
        <x:v>0</x:v>
      </x:c>
      <x:c r="T15" s="20">
        <x:v>0.03</x:v>
      </x:c>
      <x:c r="U15" s="20">
        <x:v>0.3</x:v>
      </x:c>
      <x:c r="V15" s="20">
        <x:v>0</x:v>
      </x:c>
      <x:c r="W15" s="20">
        <x:v>0.4</x:v>
      </x:c>
      <x:c r="X15" s="20">
        <x:v>0</x:v>
      </x:c>
      <x:c r="Y15" s="20">
        <x:v>0.4</x:v>
      </x:c>
      <x:c r="Z15" s="20">
        <x:v>0</x:v>
      </x:c>
      <x:c r="AA15" s="20">
        <x:v>0</x:v>
      </x:c>
      <x:c r="AB15" s="20">
        <x:v>0</x:v>
      </x:c>
      <x:c r="AC15" s="20">
        <x:v>0</x:v>
      </x:c>
      <x:c r="AD15" s="20">
        <x:v>0</x:v>
      </x:c>
      <x:c r="AE15" s="20">
        <x:v>0</x:v>
      </x:c>
      <x:c r="AF15" s="20">
        <x:v>0</x:v>
      </x:c>
      <x:c r="AG15" s="20">
        <x:v>0</x:v>
      </x:c>
      <x:c r="AH15" s="20">
        <x:v>0</x:v>
      </x:c>
      <x:c r="AI15" s="20">
        <x:v>0</x:v>
      </x:c>
      <x:c r="AJ15" s="20">
        <x:v>0</x:v>
      </x:c>
      <x:c r="AK15" s="20">
        <x:v>0</x:v>
      </x:c>
      <x:c r="AL15" s="20">
        <x:v>0.45</x:v>
      </x:c>
      <x:c r="AM15" s="20">
        <x:v>0</x:v>
      </x:c>
      <x:c r="AN15" s="20">
        <x:v>0</x:v>
      </x:c>
      <x:c r="AO15" s="20">
        <x:v>0</x:v>
      </x:c>
      <x:c r="AP15" s="20">
        <x:v>0.05</x:v>
      </x:c>
      <x:c r="AQ15" s="20">
        <x:v>0</x:v>
      </x:c>
      <x:c r="AR15" s="20">
        <x:v>2.198</x:v>
      </x:c>
      <x:c r="AS15" s="12">
        <x:v>16.492000000000001</x:v>
      </x:c>
      <x:c r="AT15" s="29" t="s">
        <x:v>336</x:v>
      </x:c>
    </x:row>
    <x:row r="16" ht="15">
      <x:c r="A16" s="27">
        <x:v>14</x:v>
      </x:c>
      <x:c r="B16" s="19" t="s">
        <x:v>244</x:v>
      </x:c>
      <x:c r="C16" s="20">
        <x:v>3.5000000000000003E-2</x:v>
      </x:c>
      <x:c r="D16" s="20">
        <x:v>2.1999999999999999E-2</x:v>
      </x:c>
      <x:c r="E16" s="20">
        <x:v>1.6E-2</x:v>
      </x:c>
      <x:c r="F16" s="20">
        <x:v>3.5000000000000003E-2</x:v>
      </x:c>
      <x:c r="G16" s="20">
        <x:v>1.2E-2</x:v>
      </x:c>
      <x:c r="H16" s="20">
        <x:v>8.0000000000000002E-3</x:v>
      </x:c>
      <x:c r="I16" s="20">
        <x:v>0.02</x:v>
      </x:c>
      <x:c r="J16" s="20">
        <x:v>2.5000000000000001E-2</x:v>
      </x:c>
      <x:c r="K16" s="20">
        <x:v>2.5000000000000001E-2</x:v>
      </x:c>
      <x:c r="L16" s="20">
        <x:v>0</x:v>
      </x:c>
      <x:c r="M16" s="20">
        <x:v>0</x:v>
      </x:c>
      <x:c r="N16" s="20">
        <x:v>0.06</x:v>
      </x:c>
      <x:c r="O16" s="20">
        <x:v>0</x:v>
      </x:c>
      <x:c r="P16" s="20">
        <x:v>0.2</x:v>
      </x:c>
      <x:c r="Q16" s="20">
        <x:v>0.08</x:v>
      </x:c>
      <x:c r="R16" s="20">
        <x:v>0</x:v>
      </x:c>
      <x:c r="S16" s="20">
        <x:v>0</x:v>
      </x:c>
      <x:c r="T16" s="20">
        <x:v>0.03</x:v>
      </x:c>
      <x:c r="U16" s="20">
        <x:v>0</x:v>
      </x:c>
      <x:c r="V16" s="20">
        <x:v>0</x:v>
      </x:c>
      <x:c r="W16" s="20">
        <x:v>0</x:v>
      </x:c>
      <x:c r="X16" s="20">
        <x:v>0</x:v>
      </x:c>
      <x:c r="Y16" s="20">
        <x:v>0</x:v>
      </x:c>
      <x:c r="Z16" s="20">
        <x:v>0</x:v>
      </x:c>
      <x:c r="AA16" s="20">
        <x:v>0</x:v>
      </x:c>
      <x:c r="AB16" s="20">
        <x:v>0</x:v>
      </x:c>
      <x:c r="AC16" s="20">
        <x:v>0</x:v>
      </x:c>
      <x:c r="AD16" s="20">
        <x:v>0</x:v>
      </x:c>
      <x:c r="AE16" s="20">
        <x:v>0</x:v>
      </x:c>
      <x:c r="AF16" s="20">
        <x:v>0</x:v>
      </x:c>
      <x:c r="AG16" s="20">
        <x:v>0</x:v>
      </x:c>
      <x:c r="AH16" s="20">
        <x:v>0</x:v>
      </x:c>
      <x:c r="AI16" s="20">
        <x:v>0</x:v>
      </x:c>
      <x:c r="AJ16" s="20">
        <x:v>0</x:v>
      </x:c>
      <x:c r="AK16" s="20">
        <x:v>0</x:v>
      </x:c>
      <x:c r="AL16" s="20">
        <x:v>0.45</x:v>
      </x:c>
      <x:c r="AM16" s="20">
        <x:v>0</x:v>
      </x:c>
      <x:c r="AN16" s="20">
        <x:v>0</x:v>
      </x:c>
      <x:c r="AO16" s="20">
        <x:v>0</x:v>
      </x:c>
      <x:c r="AP16" s="20">
        <x:v>0.05</x:v>
      </x:c>
      <x:c r="AQ16" s="20">
        <x:v>0</x:v>
      </x:c>
      <x:c r="AR16" s="20">
        <x:v>1.0680000000000001</x:v>
      </x:c>
      <x:c r="AS16" s="12">
        <x:v>17.560000000000002</x:v>
      </x:c>
      <x:c r="AT16" s="29" t="s">
        <x:v>337</x:v>
      </x:c>
    </x:row>
    <x:row r="17" ht="15">
      <x:c r="A17" s="27">
        <x:v>15</x:v>
      </x:c>
      <x:c r="B17" s="19" t="s">
        <x:v>245</x:v>
      </x:c>
      <x:c r="C17" s="20">
        <x:v>3.5000000000000003E-2</x:v>
      </x:c>
      <x:c r="D17" s="20">
        <x:v>2.1999999999999999E-2</x:v>
      </x:c>
      <x:c r="E17" s="20">
        <x:v>1.6E-2</x:v>
      </x:c>
      <x:c r="F17" s="20">
        <x:v>3.5000000000000003E-2</x:v>
      </x:c>
      <x:c r="G17" s="20">
        <x:v>1.2E-2</x:v>
      </x:c>
      <x:c r="H17" s="20">
        <x:v>8.0000000000000002E-3</x:v>
      </x:c>
      <x:c r="I17" s="20">
        <x:v>0.02</x:v>
      </x:c>
      <x:c r="J17" s="20">
        <x:v>2.5000000000000001E-2</x:v>
      </x:c>
      <x:c r="K17" s="20">
        <x:v>2.5000000000000001E-2</x:v>
      </x:c>
      <x:c r="L17" s="20">
        <x:v>0</x:v>
      </x:c>
      <x:c r="M17" s="20">
        <x:v>0</x:v>
      </x:c>
      <x:c r="N17" s="20">
        <x:v>0.06</x:v>
      </x:c>
      <x:c r="O17" s="20">
        <x:v>0</x:v>
      </x:c>
      <x:c r="P17" s="20">
        <x:v>0.2</x:v>
      </x:c>
      <x:c r="Q17" s="20">
        <x:v>0.08</x:v>
      </x:c>
      <x:c r="R17" s="20">
        <x:v>0.1</x:v>
      </x:c>
      <x:c r="S17" s="20">
        <x:v>0</x:v>
      </x:c>
      <x:c r="T17" s="20">
        <x:v>0.03</x:v>
      </x:c>
      <x:c r="U17" s="20">
        <x:v>0</x:v>
      </x:c>
      <x:c r="V17" s="20">
        <x:v>0</x:v>
      </x:c>
      <x:c r="W17" s="20">
        <x:v>0</x:v>
      </x:c>
      <x:c r="X17" s="20">
        <x:v>0.05</x:v>
      </x:c>
      <x:c r="Y17" s="20">
        <x:v>0</x:v>
      </x:c>
      <x:c r="Z17" s="20">
        <x:v>0</x:v>
      </x:c>
      <x:c r="AA17" s="20">
        <x:v>0.2</x:v>
      </x:c>
      <x:c r="AB17" s="20">
        <x:v>0</x:v>
      </x:c>
      <x:c r="AC17" s="20">
        <x:v>0</x:v>
      </x:c>
      <x:c r="AD17" s="20">
        <x:v>0</x:v>
      </x:c>
      <x:c r="AE17" s="20">
        <x:v>0</x:v>
      </x:c>
      <x:c r="AF17" s="20">
        <x:v>0</x:v>
      </x:c>
      <x:c r="AG17" s="20">
        <x:v>0</x:v>
      </x:c>
      <x:c r="AH17" s="20">
        <x:v>0</x:v>
      </x:c>
      <x:c r="AI17" s="20">
        <x:v>0</x:v>
      </x:c>
      <x:c r="AJ17" s="20">
        <x:v>0</x:v>
      </x:c>
      <x:c r="AK17" s="20">
        <x:v>0</x:v>
      </x:c>
      <x:c r="AL17" s="20">
        <x:v>0.45</x:v>
      </x:c>
      <x:c r="AM17" s="20">
        <x:v>0</x:v>
      </x:c>
      <x:c r="AN17" s="20">
        <x:v>0</x:v>
      </x:c>
      <x:c r="AO17" s="20">
        <x:v>0</x:v>
      </x:c>
      <x:c r="AP17" s="20">
        <x:v>0.05</x:v>
      </x:c>
      <x:c r="AQ17" s="20">
        <x:v>0</x:v>
      </x:c>
      <x:c r="AR17" s="20">
        <x:v>1.4180000000000001</x:v>
      </x:c>
      <x:c r="AS17" s="12">
        <x:v>18.978000000000002</x:v>
      </x:c>
      <x:c r="AT17" s="29" t="s">
        <x:v>338</x:v>
      </x:c>
    </x:row>
    <x:row r="18" ht="15">
      <x:c r="A18" s="26">
        <x:v>16</x:v>
      </x:c>
      <x:c r="B18" s="19" t="s">
        <x:v>246</x:v>
      </x:c>
      <x:c r="C18" s="20">
        <x:v>3.5000000000000003E-2</x:v>
      </x:c>
      <x:c r="D18" s="20">
        <x:v>2.1999999999999999E-2</x:v>
      </x:c>
      <x:c r="E18" s="20">
        <x:v>1.6E-2</x:v>
      </x:c>
      <x:c r="F18" s="20">
        <x:v>3.5000000000000003E-2</x:v>
      </x:c>
      <x:c r="G18" s="20">
        <x:v>1.2E-2</x:v>
      </x:c>
      <x:c r="H18" s="20">
        <x:v>8.0000000000000002E-3</x:v>
      </x:c>
      <x:c r="I18" s="20">
        <x:v>0.02</x:v>
      </x:c>
      <x:c r="J18" s="20">
        <x:v>2.5000000000000001E-2</x:v>
      </x:c>
      <x:c r="K18" s="20">
        <x:v>2.5000000000000001E-2</x:v>
      </x:c>
      <x:c r="L18" s="20">
        <x:v>0</x:v>
      </x:c>
      <x:c r="M18" s="20">
        <x:v>0.1</x:v>
      </x:c>
      <x:c r="N18" s="20">
        <x:v>0.06</x:v>
      </x:c>
      <x:c r="O18" s="20">
        <x:v>0</x:v>
      </x:c>
      <x:c r="P18" s="20">
        <x:v>0.2</x:v>
      </x:c>
      <x:c r="Q18" s="20">
        <x:v>0.08</x:v>
      </x:c>
      <x:c r="R18" s="20">
        <x:v>0.1</x:v>
      </x:c>
      <x:c r="S18" s="20">
        <x:v>0</x:v>
      </x:c>
      <x:c r="T18" s="20">
        <x:v>0.03</x:v>
      </x:c>
      <x:c r="U18" s="20">
        <x:v>0</x:v>
      </x:c>
      <x:c r="V18" s="20">
        <x:v>0</x:v>
      </x:c>
      <x:c r="W18" s="20">
        <x:v>0</x:v>
      </x:c>
      <x:c r="X18" s="20">
        <x:v>0</x:v>
      </x:c>
      <x:c r="Y18" s="20">
        <x:v>0</x:v>
      </x:c>
      <x:c r="Z18" s="20">
        <x:v>0</x:v>
      </x:c>
      <x:c r="AA18" s="20">
        <x:v>0</x:v>
      </x:c>
      <x:c r="AB18" s="20">
        <x:v>0.7</x:v>
      </x:c>
      <x:c r="AC18" s="20">
        <x:v>0</x:v>
      </x:c>
      <x:c r="AD18" s="20">
        <x:v>0</x:v>
      </x:c>
      <x:c r="AE18" s="20">
        <x:v>0</x:v>
      </x:c>
      <x:c r="AF18" s="20">
        <x:v>0</x:v>
      </x:c>
      <x:c r="AG18" s="20">
        <x:v>0</x:v>
      </x:c>
      <x:c r="AH18" s="20">
        <x:v>0</x:v>
      </x:c>
      <x:c r="AI18" s="20">
        <x:v>0</x:v>
      </x:c>
      <x:c r="AJ18" s="20">
        <x:v>0</x:v>
      </x:c>
      <x:c r="AK18" s="20">
        <x:v>0</x:v>
      </x:c>
      <x:c r="AL18" s="20">
        <x:v>0.45</x:v>
      </x:c>
      <x:c r="AM18" s="20">
        <x:v>0</x:v>
      </x:c>
      <x:c r="AN18" s="20">
        <x:v>0</x:v>
      </x:c>
      <x:c r="AO18" s="20">
        <x:v>0</x:v>
      </x:c>
      <x:c r="AP18" s="20">
        <x:v>0.05</x:v>
      </x:c>
      <x:c r="AQ18" s="20">
        <x:v>0</x:v>
      </x:c>
      <x:c r="AR18" s="20">
        <x:v>1.968</x:v>
      </x:c>
      <x:c r="AS18" s="12">
        <x:v>20.946000000000002</x:v>
      </x:c>
      <x:c r="AT18" s="28" t="s">
        <x:v>339</x:v>
      </x:c>
    </x:row>
    <x:row r="19" ht="15">
      <x:c r="A19" s="26">
        <x:v>17</x:v>
      </x:c>
      <x:c r="B19" s="19" t="s">
        <x:v>248</x:v>
      </x:c>
      <x:c r="C19" s="20">
        <x:v>3.5000000000000003E-2</x:v>
      </x:c>
      <x:c r="D19" s="20">
        <x:v>2.1999999999999999E-2</x:v>
      </x:c>
      <x:c r="E19" s="20">
        <x:v>1.6E-2</x:v>
      </x:c>
      <x:c r="F19" s="20">
        <x:v>3.5000000000000003E-2</x:v>
      </x:c>
      <x:c r="G19" s="20">
        <x:v>1.2E-2</x:v>
      </x:c>
      <x:c r="H19" s="20">
        <x:v>8.0000000000000002E-3</x:v>
      </x:c>
      <x:c r="I19" s="20">
        <x:v>0.02</x:v>
      </x:c>
      <x:c r="J19" s="20">
        <x:v>2.5000000000000001E-2</x:v>
      </x:c>
      <x:c r="K19" s="20">
        <x:v>2.5000000000000001E-2</x:v>
      </x:c>
      <x:c r="L19" s="20">
        <x:v>0</x:v>
      </x:c>
      <x:c r="M19" s="20">
        <x:v>0.14000000000000001</x:v>
      </x:c>
      <x:c r="N19" s="20">
        <x:v>0.06</x:v>
      </x:c>
      <x:c r="O19" s="20">
        <x:v>0</x:v>
      </x:c>
      <x:c r="P19" s="20">
        <x:v>0.2</x:v>
      </x:c>
      <x:c r="Q19" s="20">
        <x:v>0.08</x:v>
      </x:c>
      <x:c r="R19" s="20">
        <x:v>0.1</x:v>
      </x:c>
      <x:c r="S19" s="20">
        <x:v>0</x:v>
      </x:c>
      <x:c r="T19" s="20">
        <x:v>0.03</x:v>
      </x:c>
      <x:c r="U19" s="20">
        <x:v>0</x:v>
      </x:c>
      <x:c r="V19" s="20">
        <x:v>0</x:v>
      </x:c>
      <x:c r="W19" s="20">
        <x:v>0</x:v>
      </x:c>
      <x:c r="X19" s="20">
        <x:v>0</x:v>
      </x:c>
      <x:c r="Y19" s="20">
        <x:v>0</x:v>
      </x:c>
      <x:c r="Z19" s="20">
        <x:v>0</x:v>
      </x:c>
      <x:c r="AA19" s="20">
        <x:v>0</x:v>
      </x:c>
      <x:c r="AB19" s="20">
        <x:v>0.6</x:v>
      </x:c>
      <x:c r="AC19" s="20">
        <x:v>0</x:v>
      </x:c>
      <x:c r="AD19" s="20">
        <x:v>0</x:v>
      </x:c>
      <x:c r="AE19" s="20">
        <x:v>0</x:v>
      </x:c>
      <x:c r="AF19" s="20">
        <x:v>0.2</x:v>
      </x:c>
      <x:c r="AG19" s="20">
        <x:v>0</x:v>
      </x:c>
      <x:c r="AH19" s="20">
        <x:v>0</x:v>
      </x:c>
      <x:c r="AI19" s="20">
        <x:v>0</x:v>
      </x:c>
      <x:c r="AJ19" s="20">
        <x:v>0</x:v>
      </x:c>
      <x:c r="AK19" s="20">
        <x:v>0</x:v>
      </x:c>
      <x:c r="AL19" s="20">
        <x:v>0.8</x:v>
      </x:c>
      <x:c r="AM19" s="20">
        <x:v>0</x:v>
      </x:c>
      <x:c r="AN19" s="20">
        <x:v>0</x:v>
      </x:c>
      <x:c r="AO19" s="20">
        <x:v>0</x:v>
      </x:c>
      <x:c r="AP19" s="20">
        <x:v>0.05</x:v>
      </x:c>
      <x:c r="AQ19" s="20">
        <x:v>0</x:v>
      </x:c>
      <x:c r="AR19" s="20">
        <x:v>2.4579999999999997</x:v>
      </x:c>
      <x:c r="AS19" s="12">
        <x:v>23.404</x:v>
      </x:c>
      <x:c r="AT19" s="28" t="s">
        <x:v>340</x:v>
      </x:c>
    </x:row>
    <x:row r="20" ht="15">
      <x:c r="A20" s="26">
        <x:v>18</x:v>
      </x:c>
      <x:c r="B20" s="19" t="s">
        <x:v>250</x:v>
      </x:c>
      <x:c r="C20" s="20">
        <x:v>3.5000000000000003E-2</x:v>
      </x:c>
      <x:c r="D20" s="20">
        <x:v>2.1999999999999999E-2</x:v>
      </x:c>
      <x:c r="E20" s="20">
        <x:v>1.6E-2</x:v>
      </x:c>
      <x:c r="F20" s="20">
        <x:v>3.5000000000000003E-2</x:v>
      </x:c>
      <x:c r="G20" s="20">
        <x:v>1.2E-2</x:v>
      </x:c>
      <x:c r="H20" s="20">
        <x:v>8.0000000000000002E-3</x:v>
      </x:c>
      <x:c r="I20" s="20">
        <x:v>0.02</x:v>
      </x:c>
      <x:c r="J20" s="20">
        <x:v>2.5000000000000001E-2</x:v>
      </x:c>
      <x:c r="K20" s="20">
        <x:v>2.5000000000000001E-2</x:v>
      </x:c>
      <x:c r="L20" s="20">
        <x:v>0.04</x:v>
      </x:c>
      <x:c r="M20" s="20">
        <x:v>0.22</x:v>
      </x:c>
      <x:c r="N20" s="20">
        <x:v>0.1</x:v>
      </x:c>
      <x:c r="O20" s="20">
        <x:v>0.05</x:v>
      </x:c>
      <x:c r="P20" s="20">
        <x:v>0.18</x:v>
      </x:c>
      <x:c r="Q20" s="20">
        <x:v>0.08</x:v>
      </x:c>
      <x:c r="R20" s="20">
        <x:v>0.08</x:v>
      </x:c>
      <x:c r="S20" s="20">
        <x:v>0.4</x:v>
      </x:c>
      <x:c r="T20" s="20">
        <x:v>0.03</x:v>
      </x:c>
      <x:c r="U20" s="20">
        <x:v>1</x:v>
      </x:c>
      <x:c r="V20" s="20">
        <x:v>0.08</x:v>
      </x:c>
      <x:c r="W20" s="20">
        <x:v>0.5</x:v>
      </x:c>
      <x:c r="X20" s="20">
        <x:v>0.05</x:v>
      </x:c>
      <x:c r="Y20" s="20">
        <x:v>0</x:v>
      </x:c>
      <x:c r="Z20" s="20">
        <x:v>0</x:v>
      </x:c>
      <x:c r="AA20" s="20">
        <x:v>0</x:v>
      </x:c>
      <x:c r="AB20" s="20">
        <x:v>0</x:v>
      </x:c>
      <x:c r="AC20" s="20">
        <x:v>0</x:v>
      </x:c>
      <x:c r="AD20" s="20">
        <x:v>0</x:v>
      </x:c>
      <x:c r="AE20" s="20">
        <x:v>0</x:v>
      </x:c>
      <x:c r="AF20" s="20">
        <x:v>0</x:v>
      </x:c>
      <x:c r="AG20" s="20">
        <x:v>0</x:v>
      </x:c>
      <x:c r="AH20" s="20">
        <x:v>0</x:v>
      </x:c>
      <x:c r="AI20" s="20">
        <x:v>0</x:v>
      </x:c>
      <x:c r="AJ20" s="20">
        <x:v>0</x:v>
      </x:c>
      <x:c r="AK20" s="20">
        <x:v>0</x:v>
      </x:c>
      <x:c r="AL20" s="20">
        <x:v>0.8</x:v>
      </x:c>
      <x:c r="AM20" s="20">
        <x:v>0</x:v>
      </x:c>
      <x:c r="AN20" s="20">
        <x:v>0</x:v>
      </x:c>
      <x:c r="AO20" s="20">
        <x:v>0</x:v>
      </x:c>
      <x:c r="AP20" s="20">
        <x:v>0.05</x:v>
      </x:c>
      <x:c r="AQ20" s="20">
        <x:v>0</x:v>
      </x:c>
      <x:c r="AR20" s="20">
        <x:v>3.8579999999999997</x:v>
      </x:c>
      <x:c r="AS20" s="12">
        <x:v>27.262</x:v>
      </x:c>
      <x:c r="AT20" s="28" t="s">
        <x:v>341</x:v>
      </x:c>
    </x:row>
    <x:row r="21" ht="15">
      <x:c r="A21" s="26">
        <x:v>19</x:v>
      </x:c>
      <x:c r="B21" s="19" t="s">
        <x:v>252</x:v>
      </x:c>
      <x:c r="C21" s="20">
        <x:v>3.5000000000000003E-2</x:v>
      </x:c>
      <x:c r="D21" s="20">
        <x:v>2.1999999999999999E-2</x:v>
      </x:c>
      <x:c r="E21" s="20">
        <x:v>1.6E-2</x:v>
      </x:c>
      <x:c r="F21" s="20">
        <x:v>3.5000000000000003E-2</x:v>
      </x:c>
      <x:c r="G21" s="20">
        <x:v>1.2E-2</x:v>
      </x:c>
      <x:c r="H21" s="20">
        <x:v>8.0000000000000002E-3</x:v>
      </x:c>
      <x:c r="I21" s="20">
        <x:v>0.02</x:v>
      </x:c>
      <x:c r="J21" s="20">
        <x:v>2.5000000000000001E-2</x:v>
      </x:c>
      <x:c r="K21" s="20">
        <x:v>2.5000000000000001E-2</x:v>
      </x:c>
      <x:c r="L21" s="20">
        <x:v>0.04</x:v>
      </x:c>
      <x:c r="M21" s="20">
        <x:v>0.22</x:v>
      </x:c>
      <x:c r="N21" s="20">
        <x:v>0.1</x:v>
      </x:c>
      <x:c r="O21" s="20">
        <x:v>0.05</x:v>
      </x:c>
      <x:c r="P21" s="20">
        <x:v>0.18</x:v>
      </x:c>
      <x:c r="Q21" s="20">
        <x:v>0.08</x:v>
      </x:c>
      <x:c r="R21" s="20">
        <x:v>0.08</x:v>
      </x:c>
      <x:c r="S21" s="20">
        <x:v>0</x:v>
      </x:c>
      <x:c r="T21" s="20">
        <x:v>0.03</x:v>
      </x:c>
      <x:c r="U21" s="20">
        <x:v>0.8</x:v>
      </x:c>
      <x:c r="V21" s="20">
        <x:v>0.05</x:v>
      </x:c>
      <x:c r="W21" s="20">
        <x:v>0.4</x:v>
      </x:c>
      <x:c r="X21" s="20">
        <x:v>0</x:v>
      </x:c>
      <x:c r="Y21" s="20">
        <x:v>0</x:v>
      </x:c>
      <x:c r="Z21" s="20">
        <x:v>0</x:v>
      </x:c>
      <x:c r="AA21" s="20">
        <x:v>0</x:v>
      </x:c>
      <x:c r="AB21" s="20">
        <x:v>0</x:v>
      </x:c>
      <x:c r="AC21" s="20">
        <x:v>0</x:v>
      </x:c>
      <x:c r="AD21" s="20">
        <x:v>0</x:v>
      </x:c>
      <x:c r="AE21" s="20">
        <x:v>0</x:v>
      </x:c>
      <x:c r="AF21" s="20">
        <x:v>0</x:v>
      </x:c>
      <x:c r="AG21" s="20">
        <x:v>0</x:v>
      </x:c>
      <x:c r="AH21" s="20">
        <x:v>0</x:v>
      </x:c>
      <x:c r="AI21" s="20">
        <x:v>0</x:v>
      </x:c>
      <x:c r="AJ21" s="20">
        <x:v>0</x:v>
      </x:c>
      <x:c r="AK21" s="20">
        <x:v>0</x:v>
      </x:c>
      <x:c r="AL21" s="20">
        <x:v>0.8</x:v>
      </x:c>
      <x:c r="AM21" s="20">
        <x:v>0</x:v>
      </x:c>
      <x:c r="AN21" s="20">
        <x:v>0</x:v>
      </x:c>
      <x:c r="AO21" s="20">
        <x:v>0</x:v>
      </x:c>
      <x:c r="AP21" s="20">
        <x:v>0.05</x:v>
      </x:c>
      <x:c r="AQ21" s="20">
        <x:v>0</x:v>
      </x:c>
      <x:c r="AR21" s="20">
        <x:v>3.0780000000000003</x:v>
      </x:c>
      <x:c r="AS21" s="12">
        <x:v>30.34</x:v>
      </x:c>
      <x:c r="AT21" s="28" t="s">
        <x:v>342</x:v>
      </x:c>
    </x:row>
    <x:row r="22" ht="15">
      <x:c r="A22" s="26">
        <x:v>20</x:v>
      </x:c>
      <x:c r="B22" s="19" t="s">
        <x:v>254</x:v>
      </x:c>
      <x:c r="C22" s="20">
        <x:v>3.5000000000000003E-2</x:v>
      </x:c>
      <x:c r="D22" s="20">
        <x:v>2.1999999999999999E-2</x:v>
      </x:c>
      <x:c r="E22" s="20">
        <x:v>1.6E-2</x:v>
      </x:c>
      <x:c r="F22" s="20">
        <x:v>3.5000000000000003E-2</x:v>
      </x:c>
      <x:c r="G22" s="20">
        <x:v>1.2E-2</x:v>
      </x:c>
      <x:c r="H22" s="20">
        <x:v>8.0000000000000002E-3</x:v>
      </x:c>
      <x:c r="I22" s="20">
        <x:v>0.02</x:v>
      </x:c>
      <x:c r="J22" s="20">
        <x:v>2.5000000000000001E-2</x:v>
      </x:c>
      <x:c r="K22" s="20">
        <x:v>2.5000000000000001E-2</x:v>
      </x:c>
      <x:c r="L22" s="20">
        <x:v>0</x:v>
      </x:c>
      <x:c r="M22" s="20">
        <x:v>0.22</x:v>
      </x:c>
      <x:c r="N22" s="20">
        <x:v>0.1</x:v>
      </x:c>
      <x:c r="O22" s="20">
        <x:v>0.05</x:v>
      </x:c>
      <x:c r="P22" s="20">
        <x:v>0.18</x:v>
      </x:c>
      <x:c r="Q22" s="20">
        <x:v>0.08</x:v>
      </x:c>
      <x:c r="R22" s="20">
        <x:v>0.08</x:v>
      </x:c>
      <x:c r="S22" s="20">
        <x:v>0</x:v>
      </x:c>
      <x:c r="T22" s="20">
        <x:v>0.03</x:v>
      </x:c>
      <x:c r="U22" s="20">
        <x:v>0</x:v>
      </x:c>
      <x:c r="V22" s="20">
        <x:v>0</x:v>
      </x:c>
      <x:c r="W22" s="20">
        <x:v>0</x:v>
      </x:c>
      <x:c r="X22" s="20">
        <x:v>0.05</x:v>
      </x:c>
      <x:c r="Y22" s="20">
        <x:v>0.7</x:v>
      </x:c>
      <x:c r="Z22" s="20">
        <x:v>0.03</x:v>
      </x:c>
      <x:c r="AA22" s="20">
        <x:v>0</x:v>
      </x:c>
      <x:c r="AB22" s="20">
        <x:v>0</x:v>
      </x:c>
      <x:c r="AC22" s="20">
        <x:v>0</x:v>
      </x:c>
      <x:c r="AD22" s="20">
        <x:v>0</x:v>
      </x:c>
      <x:c r="AE22" s="20">
        <x:v>0</x:v>
      </x:c>
      <x:c r="AF22" s="20">
        <x:v>0</x:v>
      </x:c>
      <x:c r="AG22" s="20">
        <x:v>0</x:v>
      </x:c>
      <x:c r="AH22" s="20">
        <x:v>0</x:v>
      </x:c>
      <x:c r="AI22" s="20">
        <x:v>0</x:v>
      </x:c>
      <x:c r="AJ22" s="20">
        <x:v>0</x:v>
      </x:c>
      <x:c r="AK22" s="20">
        <x:v>0</x:v>
      </x:c>
      <x:c r="AL22" s="20">
        <x:v>0.8</x:v>
      </x:c>
      <x:c r="AM22" s="20">
        <x:v>0</x:v>
      </x:c>
      <x:c r="AN22" s="20">
        <x:v>0.2</x:v>
      </x:c>
      <x:c r="AO22" s="20">
        <x:v>0</x:v>
      </x:c>
      <x:c r="AP22" s="20">
        <x:v>0.05</x:v>
      </x:c>
      <x:c r="AQ22" s="20">
        <x:v>0</x:v>
      </x:c>
      <x:c r="AR22" s="20">
        <x:v>2.7679999999999998</x:v>
      </x:c>
      <x:c r="AS22" s="12">
        <x:v>33.107999999999997</x:v>
      </x:c>
      <x:c r="AT22" s="28" t="s">
        <x:v>343</x:v>
      </x:c>
    </x:row>
    <x:row r="23" ht="15">
      <x:c r="A23" s="26">
        <x:v>21</x:v>
      </x:c>
      <x:c r="B23" s="19" t="s">
        <x:v>256</x:v>
      </x:c>
      <x:c r="C23" s="20">
        <x:v>3.5000000000000003E-2</x:v>
      </x:c>
      <x:c r="D23" s="20">
        <x:v>2.1999999999999999E-2</x:v>
      </x:c>
      <x:c r="E23" s="20">
        <x:v>1.6E-2</x:v>
      </x:c>
      <x:c r="F23" s="20">
        <x:v>3.5000000000000003E-2</x:v>
      </x:c>
      <x:c r="G23" s="20">
        <x:v>1.2E-2</x:v>
      </x:c>
      <x:c r="H23" s="20">
        <x:v>8.0000000000000002E-3</x:v>
      </x:c>
      <x:c r="I23" s="20">
        <x:v>0.02</x:v>
      </x:c>
      <x:c r="J23" s="20">
        <x:v>2.5000000000000001E-2</x:v>
      </x:c>
      <x:c r="K23" s="20">
        <x:v>2.5000000000000001E-2</x:v>
      </x:c>
      <x:c r="L23" s="20">
        <x:v>0</x:v>
      </x:c>
      <x:c r="M23" s="20">
        <x:v>0.22</x:v>
      </x:c>
      <x:c r="N23" s="20">
        <x:v>0.1</x:v>
      </x:c>
      <x:c r="O23" s="20">
        <x:v>0.05</x:v>
      </x:c>
      <x:c r="P23" s="20">
        <x:v>0.18</x:v>
      </x:c>
      <x:c r="Q23" s="20">
        <x:v>0.08</x:v>
      </x:c>
      <x:c r="R23" s="20">
        <x:v>0.08</x:v>
      </x:c>
      <x:c r="S23" s="20">
        <x:v>0</x:v>
      </x:c>
      <x:c r="T23" s="20">
        <x:v>0.03</x:v>
      </x:c>
      <x:c r="U23" s="20">
        <x:v>0</x:v>
      </x:c>
      <x:c r="V23" s="20">
        <x:v>0</x:v>
      </x:c>
      <x:c r="W23" s="20">
        <x:v>0</x:v>
      </x:c>
      <x:c r="X23" s="20">
        <x:v>0</x:v>
      </x:c>
      <x:c r="Y23" s="20">
        <x:v>0.4</x:v>
      </x:c>
      <x:c r="Z23" s="20">
        <x:v>0</x:v>
      </x:c>
      <x:c r="AA23" s="20">
        <x:v>0</x:v>
      </x:c>
      <x:c r="AB23" s="20">
        <x:v>0</x:v>
      </x:c>
      <x:c r="AC23" s="20">
        <x:v>0.5</x:v>
      </x:c>
      <x:c r="AD23" s="20">
        <x:v>0</x:v>
      </x:c>
      <x:c r="AE23" s="20">
        <x:v>0</x:v>
      </x:c>
      <x:c r="AF23" s="20">
        <x:v>0</x:v>
      </x:c>
      <x:c r="AG23" s="20">
        <x:v>0</x:v>
      </x:c>
      <x:c r="AH23" s="20">
        <x:v>0</x:v>
      </x:c>
      <x:c r="AI23" s="20">
        <x:v>0</x:v>
      </x:c>
      <x:c r="AJ23" s="20">
        <x:v>0</x:v>
      </x:c>
      <x:c r="AK23" s="20">
        <x:v>0</x:v>
      </x:c>
      <x:c r="AL23" s="20">
        <x:v>0.8</x:v>
      </x:c>
      <x:c r="AM23" s="20">
        <x:v>0</x:v>
      </x:c>
      <x:c r="AN23" s="20">
        <x:v>0.2</x:v>
      </x:c>
      <x:c r="AO23" s="20">
        <x:v>0.06</x:v>
      </x:c>
      <x:c r="AP23" s="20">
        <x:v>0.05</x:v>
      </x:c>
      <x:c r="AQ23" s="20">
        <x:v>0</x:v>
      </x:c>
      <x:c r="AR23" s="20">
        <x:v>2.948</x:v>
      </x:c>
      <x:c r="AS23" s="12">
        <x:v>36.055999999999997</x:v>
      </x:c>
      <x:c r="AT23" s="28" t="s">
        <x:v>344</x:v>
      </x:c>
    </x:row>
    <x:row r="24" ht="15">
      <x:c r="A24" s="26">
        <x:v>22</x:v>
      </x:c>
      <x:c r="B24" s="19" t="s">
        <x:v>258</x:v>
      </x:c>
      <x:c r="C24" s="20">
        <x:v>3.5000000000000003E-2</x:v>
      </x:c>
      <x:c r="D24" s="20">
        <x:v>2.1999999999999999E-2</x:v>
      </x:c>
      <x:c r="E24" s="20">
        <x:v>1.6E-2</x:v>
      </x:c>
      <x:c r="F24" s="20">
        <x:v>3.5000000000000003E-2</x:v>
      </x:c>
      <x:c r="G24" s="20">
        <x:v>1.2E-2</x:v>
      </x:c>
      <x:c r="H24" s="20">
        <x:v>8.0000000000000002E-3</x:v>
      </x:c>
      <x:c r="I24" s="20">
        <x:v>0.02</x:v>
      </x:c>
      <x:c r="J24" s="20">
        <x:v>2.5000000000000001E-2</x:v>
      </x:c>
      <x:c r="K24" s="20">
        <x:v>2.5000000000000001E-2</x:v>
      </x:c>
      <x:c r="L24" s="20">
        <x:v>0.03</x:v>
      </x:c>
      <x:c r="M24" s="20">
        <x:v>0.16</x:v>
      </x:c>
      <x:c r="N24" s="20">
        <x:v>0.08</x:v>
      </x:c>
      <x:c r="O24" s="20">
        <x:v>0.04</x:v>
      </x:c>
      <x:c r="P24" s="20">
        <x:v>0.18</x:v>
      </x:c>
      <x:c r="Q24" s="20">
        <x:v>0.08</x:v>
      </x:c>
      <x:c r="R24" s="20">
        <x:v>0.08</x:v>
      </x:c>
      <x:c r="S24" s="20">
        <x:v>0</x:v>
      </x:c>
      <x:c r="T24" s="20">
        <x:v>0.03</x:v>
      </x:c>
      <x:c r="U24" s="20">
        <x:v>0</x:v>
      </x:c>
      <x:c r="V24" s="20">
        <x:v>0</x:v>
      </x:c>
      <x:c r="W24" s="20">
        <x:v>0</x:v>
      </x:c>
      <x:c r="X24" s="20">
        <x:v>0</x:v>
      </x:c>
      <x:c r="Y24" s="20">
        <x:v>0</x:v>
      </x:c>
      <x:c r="Z24" s="20">
        <x:v>0</x:v>
      </x:c>
      <x:c r="AA24" s="20">
        <x:v>0</x:v>
      </x:c>
      <x:c r="AB24" s="20">
        <x:v>0</x:v>
      </x:c>
      <x:c r="AC24" s="20">
        <x:v>0</x:v>
      </x:c>
      <x:c r="AD24" s="20">
        <x:v>0</x:v>
      </x:c>
      <x:c r="AE24" s="20">
        <x:v>0</x:v>
      </x:c>
      <x:c r="AF24" s="20">
        <x:v>0</x:v>
      </x:c>
      <x:c r="AG24" s="20">
        <x:v>0.08</x:v>
      </x:c>
      <x:c r="AH24" s="20">
        <x:v>0</x:v>
      </x:c>
      <x:c r="AI24" s="20">
        <x:v>0</x:v>
      </x:c>
      <x:c r="AJ24" s="20">
        <x:v>0</x:v>
      </x:c>
      <x:c r="AK24" s="20">
        <x:v>0</x:v>
      </x:c>
      <x:c r="AL24" s="20">
        <x:v>0.8</x:v>
      </x:c>
      <x:c r="AM24" s="20">
        <x:v>0.16</x:v>
      </x:c>
      <x:c r="AN24" s="20">
        <x:v>0.2</x:v>
      </x:c>
      <x:c r="AO24" s="20">
        <x:v>0.06</x:v>
      </x:c>
      <x:c r="AP24" s="20">
        <x:v>0.05</x:v>
      </x:c>
      <x:c r="AQ24" s="20">
        <x:v>0.12</x:v>
      </x:c>
      <x:c r="AR24" s="20">
        <x:v>2.3479999999999999</x:v>
      </x:c>
      <x:c r="AS24" s="12">
        <x:v>38.403999999999996</x:v>
      </x:c>
      <x:c r="AT24" s="28" t="s">
        <x:v>345</x:v>
      </x:c>
    </x:row>
    <x:row r="25" ht="15">
      <x:c r="A25" s="33">
        <x:v>23</x:v>
      </x:c>
      <x:c r="B25" s="34" t="s">
        <x:v>260</x:v>
      </x:c>
      <x:c r="C25" s="35">
        <x:v>3.5000000000000003E-2</x:v>
      </x:c>
      <x:c r="D25" s="35">
        <x:v>2.1999999999999999E-2</x:v>
      </x:c>
      <x:c r="E25" s="35">
        <x:v>1.6E-2</x:v>
      </x:c>
      <x:c r="F25" s="35">
        <x:v>3.5000000000000003E-2</x:v>
      </x:c>
      <x:c r="G25" s="35">
        <x:v>1.2E-2</x:v>
      </x:c>
      <x:c r="H25" s="35">
        <x:v>8.0000000000000002E-3</x:v>
      </x:c>
      <x:c r="I25" s="35">
        <x:v>0.02</x:v>
      </x:c>
      <x:c r="J25" s="35">
        <x:v>2.5000000000000001E-2</x:v>
      </x:c>
      <x:c r="K25" s="35">
        <x:v>2.5000000000000001E-2</x:v>
      </x:c>
      <x:c r="L25" s="35">
        <x:v>0</x:v>
      </x:c>
      <x:c r="M25" s="35">
        <x:v>0.08</x:v>
      </x:c>
      <x:c r="N25" s="35">
        <x:v>0</x:v>
      </x:c>
      <x:c r="O25" s="35">
        <x:v>0</x:v>
      </x:c>
      <x:c r="P25" s="35">
        <x:v>0</x:v>
      </x:c>
      <x:c r="Q25" s="35">
        <x:v>0.06</x:v>
      </x:c>
      <x:c r="R25" s="35">
        <x:v>0</x:v>
      </x:c>
      <x:c r="S25" s="35">
        <x:v>0</x:v>
      </x:c>
      <x:c r="T25" s="35">
        <x:v>0</x:v>
      </x:c>
      <x:c r="U25" s="35">
        <x:v>0</x:v>
      </x:c>
      <x:c r="V25" s="35">
        <x:v>0</x:v>
      </x:c>
      <x:c r="W25" s="35">
        <x:v>0</x:v>
      </x:c>
      <x:c r="X25" s="35">
        <x:v>0</x:v>
      </x:c>
      <x:c r="Y25" s="35">
        <x:v>0</x:v>
      </x:c>
      <x:c r="Z25" s="35">
        <x:v>0</x:v>
      </x:c>
      <x:c r="AA25" s="35">
        <x:v>0</x:v>
      </x:c>
      <x:c r="AB25" s="35">
        <x:v>0</x:v>
      </x:c>
      <x:c r="AC25" s="35">
        <x:v>0</x:v>
      </x:c>
      <x:c r="AD25" s="35">
        <x:v>0</x:v>
      </x:c>
      <x:c r="AE25" s="35">
        <x:v>0</x:v>
      </x:c>
      <x:c r="AF25" s="35">
        <x:v>0</x:v>
      </x:c>
      <x:c r="AG25" s="35">
        <x:v>0</x:v>
      </x:c>
      <x:c r="AH25" s="35">
        <x:v>0</x:v>
      </x:c>
      <x:c r="AI25" s="35">
        <x:v>0</x:v>
      </x:c>
      <x:c r="AJ25" s="35">
        <x:v>0</x:v>
      </x:c>
      <x:c r="AK25" s="35">
        <x:v>0</x:v>
      </x:c>
      <x:c r="AL25" s="35">
        <x:v>0.5</x:v>
      </x:c>
      <x:c r="AM25" s="35">
        <x:v>0.16</x:v>
      </x:c>
      <x:c r="AN25" s="35">
        <x:v>0</x:v>
      </x:c>
      <x:c r="AO25" s="35">
        <x:v>0.06</x:v>
      </x:c>
      <x:c r="AP25" s="35">
        <x:v>0.05</x:v>
      </x:c>
      <x:c r="AQ25" s="35">
        <x:v>0</x:v>
      </x:c>
      <x:c r="AR25" s="35">
        <x:v>1.1080000000000001</x:v>
      </x:c>
      <x:c r="AS25" s="37">
        <x:v>39.511999999999993</x:v>
      </x:c>
      <x:c r="AT25" s="36" t="s">
        <x:v>346</x:v>
      </x:c>
    </x:row>
    <x:row r="26" ht="15">
      <x:c r="A26" s="24" t="s">
        <x:v>262</x:v>
      </x:c>
      <x:c r="B26" s="25"/>
      <x:c r="C26" s="22" t="n">
        <x:f>SUM(C2:C25)</x:f>
        <x:v>0.8400000000000005</x:v>
      </x:c>
      <x:c r="D26" s="22" t="n">
        <x:f t="shared" ref="D26:AR26" si="0">SUM(D2:D25)</x:f>
        <x:v>0.5280000000000001</x:v>
      </x:c>
      <x:c r="E26" s="22">
        <x:f t="shared" si="0"/>
        <x:v>0.38400000000000023</x:v>
      </x:c>
      <x:c r="F26" s="22">
        <x:f t="shared" si="0"/>
        <x:v>0.75000000000000044</x:v>
      </x:c>
      <x:c r="G26" s="22">
        <x:f t="shared" si="0"/>
        <x:v>0.28800000000000009</x:v>
      </x:c>
      <x:c r="H26" s="22">
        <x:f t="shared" si="0"/>
        <x:v>0.19200000000000012</x:v>
      </x:c>
      <x:c r="I26" s="22">
        <x:f t="shared" si="0"/>
        <x:v>0.48000000000000015</x:v>
      </x:c>
      <x:c r="J26" s="22">
        <x:f t="shared" si="0"/>
        <x:v>0.6000000000000002</x:v>
      </x:c>
      <x:c r="K26" s="22">
        <x:f t="shared" si="0"/>
        <x:v>0.45000000000000012</x:v>
      </x:c>
      <x:c r="L26" s="22">
        <x:f t="shared" si="0"/>
        <x:v>0.23</x:v>
      </x:c>
      <x:c r="M26" s="22">
        <x:f t="shared" si="0"/>
        <x:v>1.64</x:v>
      </x:c>
      <x:c r="N26" s="22">
        <x:f t="shared" si="0"/>
        <x:v>1.07</x:v>
      </x:c>
      <x:c r="O26" s="22">
        <x:f t="shared" si="0"/>
        <x:v>0.33999999999999997</x:v>
      </x:c>
      <x:c r="P26" s="22">
        <x:f t="shared" si="0"/>
        <x:v>2.44</x:v>
      </x:c>
      <x:c r="Q26" s="22">
        <x:f t="shared" si="0"/>
        <x:v>1.18</x:v>
      </x:c>
      <x:c r="R26" s="22">
        <x:f t="shared" si="0"/>
        <x:v>0.7</x:v>
      </x:c>
      <x:c r="S26" s="22">
        <x:f t="shared" si="0"/>
        <x:v>0.8</x:v>
      </x:c>
      <x:c r="T26" s="22">
        <x:f t="shared" si="0"/>
        <x:v>0.42000000000000015</x:v>
      </x:c>
      <x:c r="U26" s="22">
        <x:f t="shared" si="0"/>
        <x:v>3.6499999999999995</x:v>
      </x:c>
      <x:c r="V26" s="22">
        <x:f t="shared" si="0"/>
        <x:v>0.25</x:v>
      </x:c>
      <x:c r="W26" s="22">
        <x:f t="shared" si="0"/>
        <x:v>1.3</x:v>
      </x:c>
      <x:c r="X26" s="22">
        <x:f t="shared" si="0"/>
        <x:v>0.37</x:v>
      </x:c>
      <x:c r="Y26" s="22">
        <x:f t="shared" si="0"/>
        <x:v>1.5</x:v>
      </x:c>
      <x:c r="Z26" s="22">
        <x:f t="shared" si="0"/>
        <x:v>0.03</x:v>
      </x:c>
      <x:c r="AA26" s="22">
        <x:f t="shared" si="0"/>
        <x:v>0.45</x:v>
      </x:c>
      <x:c r="AB26" s="22">
        <x:f t="shared" si="0"/>
        <x:v>2.5999999999999996</x:v>
      </x:c>
      <x:c r="AC26" s="22">
        <x:f t="shared" si="0"/>
        <x:v>0.5</x:v>
      </x:c>
      <x:c r="AD26" s="22">
        <x:f t="shared" si="0"/>
        <x:v>0.05</x:v>
      </x:c>
      <x:c r="AE26" s="22">
        <x:f t="shared" si="0"/>
        <x:v>0.1</x:v>
      </x:c>
      <x:c r="AF26" s="22">
        <x:f t="shared" si="0"/>
        <x:v>0.2</x:v>
      </x:c>
      <x:c r="AG26" s="22">
        <x:f t="shared" si="0"/>
        <x:v>0.2</x:v>
      </x:c>
      <x:c r="AH26" s="22">
        <x:f t="shared" si="0"/>
        <x:v>0</x:v>
      </x:c>
      <x:c r="AI26" s="22">
        <x:f t="shared" si="0"/>
        <x:v>0</x:v>
      </x:c>
      <x:c r="AJ26" s="22">
        <x:f t="shared" si="0"/>
        <x:v>0</x:v>
      </x:c>
      <x:c r="AK26" s="22">
        <x:f t="shared" si="0"/>
        <x:v>0</x:v>
      </x:c>
      <x:c r="AL26" s="22">
        <x:f t="shared" si="0"/>
        <x:v>10.800000000000002</x:v>
      </x:c>
      <x:c r="AM26" s="22">
        <x:f t="shared" si="0"/>
        <x:v>1.52</x:v>
      </x:c>
      <x:c r="AN26" s="22">
        <x:f t="shared" si="0"/>
        <x:v>0.75</x:v>
      </x:c>
      <x:c r="AO26" s="22">
        <x:f t="shared" si="0"/>
        <x:v>0.66000000000000014</x:v>
      </x:c>
      <x:c r="AP26" s="22">
        <x:f t="shared" si="0"/>
        <x:v>0.89000000000000024</x:v>
      </x:c>
      <x:c r="AQ26" s="22">
        <x:f t="shared" si="0"/>
        <x:v>0.36</x:v>
      </x:c>
      <x:c r="AR26" s="22">
        <x:f t="shared" si="0"/>
        <x:v>39.511999999999993</x:v>
      </x:c>
      <x:c r="AS26" s="22"/>
      <x:c r="AT26" s="10"/>
    </x:row>
  </x:sheetData>
  <x:mergeCells>
    <x:mergeCell ref="A26:B26"/>
  </x:mergeCells>
  <x:conditionalFormatting sqref="AT12:AT17 A12:AR17">
    <x:cfRule type="expression" dxfId="1" priority="1">
      <x:formula>#REF!=1</x:formula>
    </x:cfRule>
    <x:cfRule type="expression" dxfId="0" priority="2">
      <x:formula>#REF!=2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4.25"/>
  <x:cols>
    <x:col min="1" max="1" width="5.375" customWidth="1"/>
    <x:col min="2" max="3" width="12.25" customWidth="1"/>
    <x:col min="4" max="7" width="10.125" customWidth="1"/>
    <x:col min="8" max="8" width="6.875" customWidth="1"/>
    <x:col min="9" max="9" width="3.625" customWidth="1"/>
  </x:cols>
  <x:sheetData>
    <x:row r="1" ht="15">
      <x:c r="A1" s="7" t="s">
        <x:v>220</x:v>
      </x:c>
      <x:c r="B1" s="7" t="s">
        <x:v>347</x:v>
      </x:c>
      <x:c r="C1" s="7" t="s">
        <x:v>348</x:v>
      </x:c>
      <x:c r="D1" s="7" t="s">
        <x:v>349</x:v>
      </x:c>
      <x:c r="E1" s="7" t="s">
        <x:v>350</x:v>
      </x:c>
      <x:c r="F1" s="7" t="s">
        <x:v>351</x:v>
      </x:c>
      <x:c r="G1" s="7" t="s">
        <x:v>352</x:v>
      </x:c>
      <x:c r="H1" s="7" t="s">
        <x:v>353</x:v>
      </x:c>
    </x:row>
    <x:row r="2" ht="15">
      <x:c r="A2" s="6">
        <x:v>0</x:v>
      </x:c>
      <x:c r="B2" s="8">
        <x:v>0.158</x:v>
      </x:c>
      <x:c r="C2" s="8">
        <x:v>0.158</x:v>
      </x:c>
      <x:c r="D2" s="8">
        <x:v>0.878</x:v>
      </x:c>
      <x:c r="E2" s="8">
        <x:v>0.878</x:v>
      </x:c>
      <x:c r="F2" s="8">
        <x:v>0.66800000000000004</x:v>
      </x:c>
      <x:c r="G2" s="8">
        <x:v>0.66800000000000004</x:v>
      </x:c>
      <x:c r="H2" s="9" t="n">
        <x:f>AVERAGE(B2:G2)</x:f>
        <x:v>0.5680000000000001</x:v>
      </x:c>
    </x:row>
    <x:row r="3" ht="15">
      <x:c r="A3" s="6">
        <x:v>1</x:v>
      </x:c>
      <x:c r="B3" s="8">
        <x:v>0.158</x:v>
      </x:c>
      <x:c r="C3" s="8">
        <x:v>0.158</x:v>
      </x:c>
      <x:c r="D3" s="8">
        <x:v>0.57799999999999996</x:v>
      </x:c>
      <x:c r="E3" s="8">
        <x:v>0.57799999999999996</x:v>
      </x:c>
      <x:c r="F3" s="8">
        <x:v>0.378</x:v>
      </x:c>
      <x:c r="G3" s="8">
        <x:v>0.378</x:v>
      </x:c>
      <x:c r="H3" s="9" t="n">
        <x:f t="shared" ref="H3:H25" si="0">AVERAGE(B3:G3)</x:f>
        <x:v>0.37133333333333335</x:v>
      </x:c>
    </x:row>
    <x:row r="4" ht="15">
      <x:c r="A4" s="6">
        <x:v>2</x:v>
      </x:c>
      <x:c r="B4" s="8">
        <x:v>0.158</x:v>
      </x:c>
      <x:c r="C4" s="8">
        <x:v>0.158</x:v>
      </x:c>
      <x:c r="D4" s="8">
        <x:v>0.57799999999999996</x:v>
      </x:c>
      <x:c r="E4" s="8">
        <x:v>0.57799999999999996</x:v>
      </x:c>
      <x:c r="F4" s="8">
        <x:v>0.378</x:v>
      </x:c>
      <x:c r="G4" s="8">
        <x:v>0.378</x:v>
      </x:c>
      <x:c r="H4" s="9">
        <x:f t="shared" si="0"/>
        <x:v>0.37133333333333335</x:v>
      </x:c>
    </x:row>
    <x:row r="5" ht="15">
      <x:c r="A5" s="6">
        <x:v>3</x:v>
      </x:c>
      <x:c r="B5" s="8">
        <x:v>0.158</x:v>
      </x:c>
      <x:c r="C5" s="8">
        <x:v>0.158</x:v>
      </x:c>
      <x:c r="D5" s="8">
        <x:v>0.57799999999999996</x:v>
      </x:c>
      <x:c r="E5" s="8">
        <x:v>0.57799999999999996</x:v>
      </x:c>
      <x:c r="F5" s="8">
        <x:v>0.378</x:v>
      </x:c>
      <x:c r="G5" s="8">
        <x:v>0.378</x:v>
      </x:c>
      <x:c r="H5" s="9">
        <x:f t="shared" si="0"/>
        <x:v>0.37133333333333335</x:v>
      </x:c>
    </x:row>
    <x:row r="6" ht="15">
      <x:c r="A6" s="6">
        <x:v>4</x:v>
      </x:c>
      <x:c r="B6" s="8">
        <x:v>0.158</x:v>
      </x:c>
      <x:c r="C6" s="8">
        <x:v>0.158</x:v>
      </x:c>
      <x:c r="D6" s="8">
        <x:v>0.57799999999999996</x:v>
      </x:c>
      <x:c r="E6" s="8">
        <x:v>0.57799999999999996</x:v>
      </x:c>
      <x:c r="F6" s="8">
        <x:v>0.378</x:v>
      </x:c>
      <x:c r="G6" s="8">
        <x:v>0.378</x:v>
      </x:c>
      <x:c r="H6" s="9">
        <x:f t="shared" si="0"/>
        <x:v>0.37133333333333335</x:v>
      </x:c>
    </x:row>
    <x:row r="7" ht="15">
      <x:c r="A7" s="6">
        <x:v>5</x:v>
      </x:c>
      <x:c r="B7" s="8">
        <x:v>0.158</x:v>
      </x:c>
      <x:c r="C7" s="8">
        <x:v>0.158</x:v>
      </x:c>
      <x:c r="D7" s="8">
        <x:v>0.57799999999999996</x:v>
      </x:c>
      <x:c r="E7" s="8">
        <x:v>0.57799999999999996</x:v>
      </x:c>
      <x:c r="F7" s="8">
        <x:v>0.42799999999999999</x:v>
      </x:c>
      <x:c r="G7" s="8">
        <x:v>0.378</x:v>
      </x:c>
      <x:c r="H7" s="9">
        <x:f t="shared" si="0"/>
        <x:v>0.37966666666666665</x:v>
      </x:c>
    </x:row>
    <x:row r="8" ht="15">
      <x:c r="A8" s="6">
        <x:v>6</x:v>
      </x:c>
      <x:c r="B8" s="8">
        <x:v>0.90300000000000002</x:v>
      </x:c>
      <x:c r="C8" s="8">
        <x:v>0.20300000000000001</x:v>
      </x:c>
      <x:c r="D8" s="8">
        <x:v>1.0429999999999999</x:v>
      </x:c>
      <x:c r="E8" s="8">
        <x:v>0.60299999999999998</x:v>
      </x:c>
      <x:c r="F8" s="8">
        <x:v>2.0779999999999998</x:v>
      </x:c>
      <x:c r="G8" s="8">
        <x:v>0.41799999999999998</x:v>
      </x:c>
      <x:c r="H8" s="9">
        <x:f t="shared" si="0"/>
        <x:v>0.8746666666666667</x:v>
      </x:c>
    </x:row>
    <x:row r="9" ht="15">
      <x:c r="A9" s="6">
        <x:v>7</x:v>
      </x:c>
      <x:c r="B9" s="8">
        <x:v>0.95299999999999996</x:v>
      </x:c>
      <x:c r="C9" s="8">
        <x:v>0.20300000000000001</x:v>
      </x:c>
      <x:c r="D9" s="8">
        <x:v>0.94299999999999995</x:v>
      </x:c>
      <x:c r="E9" s="8">
        <x:v>0.193</x:v>
      </x:c>
      <x:c r="F9" s="8">
        <x:v>2.198</x:v>
      </x:c>
      <x:c r="G9" s="8">
        <x:v>1.0880000000000001</x:v>
      </x:c>
      <x:c r="H9" s="9">
        <x:f t="shared" si="0"/>
        <x:v>0.92966666666666675</x:v>
      </x:c>
    </x:row>
    <x:row r="10" ht="15">
      <x:c r="A10" s="6">
        <x:v>8</x:v>
      </x:c>
      <x:c r="B10" s="8">
        <x:v>0.23300000000000001</x:v>
      </x:c>
      <x:c r="C10" s="8">
        <x:v>0.70299999999999996</x:v>
      </x:c>
      <x:c r="D10" s="8">
        <x:v>0.223</x:v>
      </x:c>
      <x:c r="E10" s="8">
        <x:v>0.69299999999999995</x:v>
      </x:c>
      <x:c r="F10" s="8">
        <x:v>0.57799999999999996</x:v>
      </x:c>
      <x:c r="G10" s="8">
        <x:v>1.6080000000000001</x:v>
      </x:c>
      <x:c r="H10" s="9">
        <x:f t="shared" si="0"/>
        <x:v>0.67300000000000004</x:v>
      </x:c>
    </x:row>
    <x:row r="11" ht="15">
      <x:c r="A11" s="6">
        <x:v>9</x:v>
      </x:c>
      <x:c r="B11" s="8">
        <x:v>0.23300000000000001</x:v>
      </x:c>
      <x:c r="C11" s="8">
        <x:v>1.7330000000000001</x:v>
      </x:c>
      <x:c r="D11" s="8">
        <x:v>0.223</x:v>
      </x:c>
      <x:c r="E11" s="8">
        <x:v>1.7230000000000001</x:v>
      </x:c>
      <x:c r="F11" s="8">
        <x:v>0.22800000000000001</x:v>
      </x:c>
      <x:c r="G11" s="8">
        <x:v>2.8079999999999998</x:v>
      </x:c>
      <x:c r="H11" s="9">
        <x:f t="shared" si="0"/>
        <x:v>1.1579999999999999</x:v>
      </x:c>
    </x:row>
    <x:row r="12" ht="15">
      <x:c r="A12" s="6">
        <x:v>10</x:v>
      </x:c>
      <x:c r="B12" s="8">
        <x:v>0.28299999999999997</x:v>
      </x:c>
      <x:c r="C12" s="8">
        <x:v>0.97299999999999998</x:v>
      </x:c>
      <x:c r="D12" s="8">
        <x:v>0.39300000000000002</x:v>
      </x:c>
      <x:c r="E12" s="8">
        <x:v>1.0229999999999999</x:v>
      </x:c>
      <x:c r="F12" s="8">
        <x:v>0.27800000000000002</x:v>
      </x:c>
      <x:c r="G12" s="8">
        <x:v>1.468</x:v>
      </x:c>
      <x:c r="H12" s="9">
        <x:f t="shared" si="0"/>
        <x:v>0.73633333333333317</x:v>
      </x:c>
    </x:row>
    <x:row r="13" ht="15">
      <x:c r="A13" s="6">
        <x:v>11</x:v>
      </x:c>
      <x:c r="B13" s="8">
        <x:v>0.23300000000000001</x:v>
      </x:c>
      <x:c r="C13" s="8">
        <x:v>1.373</x:v>
      </x:c>
      <x:c r="D13" s="8">
        <x:v>0.34300000000000003</x:v>
      </x:c>
      <x:c r="E13" s="8">
        <x:v>2.073</x:v>
      </x:c>
      <x:c r="F13" s="8">
        <x:v>0.22800000000000001</x:v>
      </x:c>
      <x:c r="G13" s="8">
        <x:v>1.8680000000000001</x:v>
      </x:c>
      <x:c r="H13" s="9">
        <x:f t="shared" si="0"/>
        <x:v>1.0196666666666667</x:v>
      </x:c>
    </x:row>
    <x:row r="14" ht="15">
      <x:c r="A14" s="6">
        <x:v>12</x:v>
      </x:c>
      <x:c r="B14" s="8">
        <x:v>0.23300000000000001</x:v>
      </x:c>
      <x:c r="C14" s="8">
        <x:v>1.9830000000000001</x:v>
      </x:c>
      <x:c r="D14" s="8">
        <x:v>0.34300000000000003</x:v>
      </x:c>
      <x:c r="E14" s="8">
        <x:v>3.0329999999999999</x:v>
      </x:c>
      <x:c r="F14" s="8">
        <x:v>0.22800000000000001</x:v>
      </x:c>
      <x:c r="G14" s="8">
        <x:v>2.4780000000000002</x:v>
      </x:c>
      <x:c r="H14" s="9">
        <x:f t="shared" si="0"/>
        <x:v>1.383</x:v>
      </x:c>
    </x:row>
    <x:row r="15" ht="15">
      <x:c r="A15" s="6">
        <x:v>13</x:v>
      </x:c>
      <x:c r="B15" s="8">
        <x:v>0.23300000000000001</x:v>
      </x:c>
      <x:c r="C15" s="8">
        <x:v>1.7030000000000001</x:v>
      </x:c>
      <x:c r="D15" s="8">
        <x:v>0.223</x:v>
      </x:c>
      <x:c r="E15" s="8">
        <x:v>2.7530000000000001</x:v>
      </x:c>
      <x:c r="F15" s="8">
        <x:v>0.22800000000000001</x:v>
      </x:c>
      <x:c r="G15" s="8">
        <x:v>2.198</x:v>
      </x:c>
      <x:c r="H15" s="9">
        <x:f t="shared" si="0"/>
        <x:v>1.2230000000000001</x:v>
      </x:c>
    </x:row>
    <x:row r="16" ht="15">
      <x:c r="A16" s="6">
        <x:v>14</x:v>
      </x:c>
      <x:c r="B16" s="8">
        <x:v>0.23300000000000001</x:v>
      </x:c>
      <x:c r="C16" s="8">
        <x:v>0.57299999999999995</x:v>
      </x:c>
      <x:c r="D16" s="8">
        <x:v>0.223</x:v>
      </x:c>
      <x:c r="E16" s="8">
        <x:v>1.623</x:v>
      </x:c>
      <x:c r="F16" s="8">
        <x:v>0.22800000000000001</x:v>
      </x:c>
      <x:c r="G16" s="8">
        <x:v>1.0680000000000001</x:v>
      </x:c>
      <x:c r="H16" s="9">
        <x:f t="shared" si="0"/>
        <x:v>0.65800000000000003</x:v>
      </x:c>
    </x:row>
    <x:row r="17" ht="15">
      <x:c r="A17" s="6">
        <x:v>15</x:v>
      </x:c>
      <x:c r="B17" s="8">
        <x:v>0.23300000000000001</x:v>
      </x:c>
      <x:c r="C17" s="8">
        <x:v>0.92300000000000004</x:v>
      </x:c>
      <x:c r="D17" s="8">
        <x:v>0.223</x:v>
      </x:c>
      <x:c r="E17" s="8">
        <x:v>1.7729999999999999</x:v>
      </x:c>
      <x:c r="F17" s="8">
        <x:v>0.22800000000000001</x:v>
      </x:c>
      <x:c r="G17" s="8">
        <x:v>1.4179999999999999</x:v>
      </x:c>
      <x:c r="H17" s="9">
        <x:f t="shared" si="0"/>
        <x:v>0.79966666666666664</x:v>
      </x:c>
    </x:row>
    <x:row r="18" ht="15">
      <x:c r="A18" s="6">
        <x:v>16</x:v>
      </x:c>
      <x:c r="B18" s="8">
        <x:v>0.42299999999999999</x:v>
      </x:c>
      <x:c r="C18" s="8">
        <x:v>1.373</x:v>
      </x:c>
      <x:c r="D18" s="8">
        <x:v>0.41299999999999998</x:v>
      </x:c>
      <x:c r="E18" s="8">
        <x:v>2.2229999999999999</x:v>
      </x:c>
      <x:c r="F18" s="8">
        <x:v>0.41799999999999998</x:v>
      </x:c>
      <x:c r="G18" s="8">
        <x:v>1.968</x:v>
      </x:c>
      <x:c r="H18" s="9">
        <x:f t="shared" si="0"/>
        <x:v>1.1363333333333334</x:v>
      </x:c>
    </x:row>
    <x:row r="19" ht="15">
      <x:c r="A19" s="6">
        <x:v>17</x:v>
      </x:c>
      <x:c r="B19" s="8">
        <x:v>0.48299999999999998</x:v>
      </x:c>
      <x:c r="C19" s="8">
        <x:v>1.4730000000000001</x:v>
      </x:c>
      <x:c r="D19" s="8">
        <x:v>0.47299999999999998</x:v>
      </x:c>
      <x:c r="E19" s="8">
        <x:v>2.323</x:v>
      </x:c>
      <x:c r="F19" s="8">
        <x:v>0.94799999999999995</x:v>
      </x:c>
      <x:c r="G19" s="8">
        <x:v>2.4580000000000002</x:v>
      </x:c>
      <x:c r="H19" s="9">
        <x:f t="shared" si="0"/>
        <x:v>1.3596666666666666</x:v>
      </x:c>
    </x:row>
    <x:row r="20" ht="15">
      <x:c r="A20" s="6">
        <x:v>18</x:v>
      </x:c>
      <x:c r="B20" s="8">
        <x:v>1.9430000000000001</x:v>
      </x:c>
      <x:c r="C20" s="8">
        <x:v>2.9329999999999998</x:v>
      </x:c>
      <x:c r="D20" s="8">
        <x:v>2.6080000000000001</x:v>
      </x:c>
      <x:c r="E20" s="8">
        <x:v>4.0179999999999998</x:v>
      </x:c>
      <x:c r="F20" s="8">
        <x:v>2.8679999999999999</x:v>
      </x:c>
      <x:c r="G20" s="8">
        <x:v>3.8580000000000001</x:v>
      </x:c>
      <x:c r="H20" s="9">
        <x:f t="shared" si="0"/>
        <x:v>3.0379999999999998</x:v>
      </x:c>
    </x:row>
    <x:row r="21" ht="15">
      <x:c r="A21" s="6">
        <x:v>19</x:v>
      </x:c>
      <x:c r="B21" s="8">
        <x:v>1.843</x:v>
      </x:c>
      <x:c r="C21" s="8">
        <x:v>2.2130000000000001</x:v>
      </x:c>
      <x:c r="D21" s="8">
        <x:v>2.8079999999999998</x:v>
      </x:c>
      <x:c r="E21" s="8">
        <x:v>3.1779999999999999</x:v>
      </x:c>
      <x:c r="F21" s="8">
        <x:v>2.7280000000000002</x:v>
      </x:c>
      <x:c r="G21" s="8">
        <x:v>3.0779999999999998</x:v>
      </x:c>
      <x:c r="H21" s="9">
        <x:f t="shared" si="0"/>
        <x:v>2.6413333333333333</x:v>
      </x:c>
    </x:row>
    <x:row r="22" ht="15">
      <x:c r="A22" s="6">
        <x:v>20</x:v>
      </x:c>
      <x:c r="B22" s="8">
        <x:v>1.083</x:v>
      </x:c>
      <x:c r="C22" s="8">
        <x:v>1.7030000000000001</x:v>
      </x:c>
      <x:c r="D22" s="8">
        <x:v>2.048</x:v>
      </x:c>
      <x:c r="E22" s="8">
        <x:v>2.6680000000000001</x:v>
      </x:c>
      <x:c r="F22" s="8">
        <x:v>2.218</x:v>
      </x:c>
      <x:c r="G22" s="8">
        <x:v>2.7679999999999998</x:v>
      </x:c>
      <x:c r="H22" s="9">
        <x:f t="shared" si="0"/>
        <x:v>2.0813333333333333</x:v>
      </x:c>
    </x:row>
    <x:row r="23" ht="15">
      <x:c r="A23" s="6">
        <x:v>21</x:v>
      </x:c>
      <x:c r="B23" s="8">
        <x:v>1.633</x:v>
      </x:c>
      <x:c r="C23" s="8">
        <x:v>1.823</x:v>
      </x:c>
      <x:c r="D23" s="8">
        <x:v>2.5979999999999999</x:v>
      </x:c>
      <x:c r="E23" s="8">
        <x:v>2.7879999999999998</x:v>
      </x:c>
      <x:c r="F23" s="8">
        <x:v>2.8279999999999998</x:v>
      </x:c>
      <x:c r="G23" s="8">
        <x:v>2.948</x:v>
      </x:c>
      <x:c r="H23" s="9">
        <x:f t="shared" si="0"/>
        <x:v>2.4363333333333332</x:v>
      </x:c>
    </x:row>
    <x:row r="24" ht="15">
      <x:c r="A24" s="6">
        <x:v>22</x:v>
      </x:c>
      <x:c r="B24" s="8">
        <x:v>1.2929999999999999</x:v>
      </x:c>
      <x:c r="C24" s="8">
        <x:v>0.92300000000000004</x:v>
      </x:c>
      <x:c r="D24" s="8">
        <x:v>2.6080000000000001</x:v>
      </x:c>
      <x:c r="E24" s="8">
        <x:v>2.238</x:v>
      </x:c>
      <x:c r="F24" s="8">
        <x:v>2.7679999999999998</x:v>
      </x:c>
      <x:c r="G24" s="8">
        <x:v>2.3479999999999999</x:v>
      </x:c>
      <x:c r="H24" s="9">
        <x:f t="shared" si="0"/>
        <x:v>2.0296666666666661</x:v>
      </x:c>
    </x:row>
    <x:row r="25" ht="15">
      <x:c r="A25" s="6">
        <x:v>23</x:v>
      </x:c>
      <x:c r="B25" s="8">
        <x:v>0.51300000000000001</x:v>
      </x:c>
      <x:c r="C25" s="8">
        <x:v>0.32300000000000001</x:v>
      </x:c>
      <x:c r="D25" s="8">
        <x:v>1.5780000000000001</x:v>
      </x:c>
      <x:c r="E25" s="8">
        <x:v>1.3879999999999999</x:v>
      </x:c>
      <x:c r="F25" s="8">
        <x:v>1.3080000000000001</x:v>
      </x:c>
      <x:c r="G25" s="8">
        <x:v>1.1080000000000001</x:v>
      </x:c>
      <x:c r="H25" s="9">
        <x:f t="shared" si="0"/>
        <x:v>1.0363333333333333</x:v>
      </x:c>
    </x:row>
    <x:row r="26" ht="15">
      <x:c r="A26" s="40" t="s">
        <x:v>354</x:v>
      </x:c>
      <x:c r="B26" s="8" t="n">
        <x:f>SUM(B2:B25)</x:f>
        <x:v>13.931999999999997</x:v>
      </x:c>
      <x:c r="C26" s="8" t="n">
        <x:f t="shared" ref="C26:G26" si="1">SUM(C2:C25)</x:f>
        <x:v>24.082</x:v>
      </x:c>
      <x:c r="D26" s="8">
        <x:f t="shared" si="1"/>
        <x:v>23.081999999999997</x:v>
      </x:c>
      <x:c r="E26" s="8">
        <x:f t="shared" si="1"/>
        <x:v>40.081999999999994</x:v>
      </x:c>
      <x:c r="F26" s="8">
        <x:f t="shared" si="1"/>
        <x:v>25.192</x:v>
      </x:c>
      <x:c r="G26" s="8">
        <x:f t="shared" si="1"/>
        <x:v>39.512</x:v>
      </x:c>
    </x:row>
    <x:row r="27" s="1" customFormat="1" ht="15">
      <x:c r="A27" s="38"/>
      <x:c r="B27" s="39"/>
      <x:c r="C27" s="39"/>
      <x:c r="D27" s="39"/>
      <x:c r="E27" s="39"/>
      <x:c r="F27" s="39"/>
      <x:c r="G27" s="39"/>
    </x:row>
  </x:sheetData>
  <x:pageMargins left="0.7" right="0.7" top="0.75" bottom="0.75" header="0.3" footer="0.3"/>
  <x:drawing xmlns:r="http://schemas.openxmlformats.org/officeDocument/2006/relationships" r:id="R6dd189d12e0a462c"/>
</x:worksheet>
</file>

<file path=xl/worksheets/sheet1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22" hidden="0" customWidth="1"/>
    <x:col min="4" max="4" width="42" hidden="0" customWidth="1"/>
    <x:col min="5" max="5" width="15" hidden="0" customWidth="1"/>
    <x:col min="6" max="6" width="12" hidden="0" customWidth="1"/>
  </x:cols>
  <x:sheetData>
    <x:row r="1">
      <x:c r="A1" s="87" t="str">
        <x:v>구독형 전기요금제 및 시뮬레이션 설정</x:v>
      </x:c>
      <x:c r="B1" s="87"/>
      <x:c r="C1" s="87"/>
      <x:c r="D1" s="87"/>
      <x:c r="E1" s="87"/>
      <x:c r="F1" s="87"/>
    </x:row>
    <x:row r="2">
      <x:c r="A2" s="88"/>
      <x:c r="B2" s="88"/>
      <x:c r="C2" s="88"/>
      <x:c r="D2" s="88"/>
      <x:c r="E2" s="88"/>
      <x:c r="F2" s="88"/>
    </x:row>
    <x:row r="3">
      <x:c r="A3" s="82" t="str">
        <x:v>요금제</x:v>
      </x:c>
      <x:c r="B3" s="82" t="str">
        <x:v>월 구독료(원)</x:v>
      </x:c>
      <x:c r="C3" s="82" t="str">
        <x:v>기본 제공량(kWh)</x:v>
      </x:c>
      <x:c r="D3" s="82" t="str">
        <x:v>주요 대상</x:v>
      </x:c>
      <x:c r="E3" s="82" t="str">
        <x:v>분석 활성화</x:v>
      </x:c>
      <x:c r="F3" s="88"/>
    </x:row>
    <x:row r="4">
      <x:c r="A4" s="89" t="str">
        <x:v>알뜰형</x:v>
      </x:c>
      <x:c r="B4" s="90" t="n">
        <x:v>19900</x:v>
      </x:c>
      <x:c r="C4" s="91" t="n">
        <x:v>200</x:v>
      </x:c>
      <x:c r="D4" s="89" t="str">
        <x:v>1인 가구(현재 4인 가구 모델에서는 제외)</x:v>
      </x:c>
      <x:c r="E4" s="89" t="str">
        <x:v>N</x:v>
      </x:c>
      <x:c r="F4" s="88"/>
    </x:row>
    <x:row r="5">
      <x:c r="A5" s="89" t="str">
        <x:v>기본형</x:v>
      </x:c>
      <x:c r="B5" s="90" t="n">
        <x:v>84900</x:v>
      </x:c>
      <x:c r="C5" s="91" t="n">
        <x:v>450</x:v>
      </x:c>
      <x:c r="D5" s="89" t="str">
        <x:v>일반 4인 가구</x:v>
      </x:c>
      <x:c r="E5" s="89" t="str">
        <x:v>Y</x:v>
      </x:c>
      <x:c r="F5" s="88"/>
    </x:row>
    <x:row r="6">
      <x:c r="A6" s="89" t="str">
        <x:v>프리미엄형</x:v>
      </x:c>
      <x:c r="B6" s="90" t="n">
        <x:v>249900</x:v>
      </x:c>
      <x:c r="C6" s="91" t="n">
        <x:v>1000</x:v>
      </x:c>
      <x:c r="D6" s="89" t="str">
        <x:v>고사용량 4인 가구</x:v>
      </x:c>
      <x:c r="E6" s="89" t="str">
        <x:v>Y</x:v>
      </x:c>
      <x:c r="F6" s="88"/>
    </x:row>
    <x:row r="7">
      <x:c r="A7" s="89" t="str">
        <x:v>※ 안내</x:v>
      </x:c>
      <x:c r="B7" s="89"/>
      <x:c r="C7" s="89"/>
      <x:c r="D7" s="89" t="str">
        <x:v>가격과 제공량은 실증 과정에서 변경 가능</x:v>
      </x:c>
      <x:c r="E7" s="89"/>
      <x:c r="F7" s="88"/>
    </x:row>
    <x:row r="8">
      <x:c r="A8" s="88"/>
      <x:c r="B8" s="88"/>
      <x:c r="C8" s="88"/>
      <x:c r="D8" s="88"/>
      <x:c r="E8" s="88"/>
      <x:c r="F8" s="88"/>
    </x:row>
    <x:row r="9">
      <x:c r="A9" s="82" t="str">
        <x:v>설정항목</x:v>
      </x:c>
      <x:c r="B9" s="82" t="str">
        <x:v>기본값</x:v>
      </x:c>
      <x:c r="C9" s="82" t="str">
        <x:v>설명</x:v>
      </x:c>
      <x:c r="D9" s="88"/>
      <x:c r="E9" s="88"/>
      <x:c r="F9" s="88"/>
    </x:row>
    <x:row r="10">
      <x:c r="A10" s="89" t="str">
        <x:v>월 주중일수</x:v>
      </x:c>
      <x:c r="B10" s="92" t="n">
        <x:v>22</x:v>
      </x:c>
      <x:c r="C10" s="89" t="str">
        <x:v>대표월 산정 시 주중 일수</x:v>
      </x:c>
      <x:c r="D10" s="88"/>
      <x:c r="E10" s="88"/>
      <x:c r="F10" s="88"/>
    </x:row>
    <x:row r="11">
      <x:c r="A11" s="89" t="str">
        <x:v>월 주말일수</x:v>
      </x:c>
      <x:c r="B11" s="92" t="n">
        <x:v>8</x:v>
      </x:c>
      <x:c r="C11" s="89" t="str">
        <x:v>대표월 산정 시 주말·공휴일 일수</x:v>
      </x:c>
      <x:c r="D11" s="88"/>
      <x:c r="E11" s="88"/>
      <x:c r="F11" s="88"/>
    </x:row>
    <x:row r="12">
      <x:c r="A12" s="89" t="str">
        <x:v>초과단가_저(원/kWh)</x:v>
      </x:c>
      <x:c r="B12" s="92" t="n">
        <x:v>200</x:v>
      </x:c>
      <x:c r="C12" s="89" t="str">
        <x:v>민감도 비교용</x:v>
      </x:c>
      <x:c r="D12" s="88"/>
      <x:c r="E12" s="88"/>
      <x:c r="F12" s="88"/>
    </x:row>
    <x:row r="13">
      <x:c r="A13" s="89" t="str">
        <x:v>초과단가_중(원/kWh)</x:v>
      </x:c>
      <x:c r="B13" s="92" t="n">
        <x:v>300</x:v>
      </x:c>
      <x:c r="C13" s="89" t="str">
        <x:v>민감도 비교용</x:v>
      </x:c>
      <x:c r="D13" s="88"/>
      <x:c r="E13" s="88"/>
      <x:c r="F13" s="88"/>
    </x:row>
    <x:row r="14">
      <x:c r="A14" s="89" t="str">
        <x:v>초과단가_고(원/kWh)</x:v>
      </x:c>
      <x:c r="B14" s="92" t="n">
        <x:v>400</x:v>
      </x:c>
      <x:c r="C14" s="89" t="str">
        <x:v>민감도 비교용</x:v>
      </x:c>
      <x:c r="D14" s="88"/>
      <x:c r="E14" s="88"/>
      <x:c r="F14" s="88"/>
    </x:row>
    <x:row r="15">
      <x:c r="A15" s="89" t="str">
        <x:v>현행한계단가_봄가을(원/kWh)</x:v>
      </x:c>
      <x:c r="B15" s="92" t="n">
        <x:v>307.3</x:v>
      </x:c>
      <x:c r="C15" s="89" t="str">
        <x:v>주택용 저압 기타계절 400kWh 초과 전력량요금</x:v>
      </x:c>
      <x:c r="D15" s="88"/>
      <x:c r="E15" s="88"/>
      <x:c r="F15" s="88"/>
    </x:row>
    <x:row r="16">
      <x:c r="A16" s="89" t="str">
        <x:v>현행한계단가_여름(원/kWh)</x:v>
      </x:c>
      <x:c r="B16" s="92" t="n">
        <x:v>242.3</x:v>
      </x:c>
      <x:c r="C16" s="89" t="str">
        <x:v>주택용 저압 하계 450kWh 초과 전력량요금</x:v>
      </x:c>
      <x:c r="D16" s="88"/>
      <x:c r="E16" s="88"/>
      <x:c r="F16" s="88"/>
    </x:row>
    <x:row r="17">
      <x:c r="A17" s="89" t="str">
        <x:v>현행한계단가_겨울(원/kWh)</x:v>
      </x:c>
      <x:c r="B17" s="92" t="n">
        <x:v>307.3</x:v>
      </x:c>
      <x:c r="C17" s="89" t="str">
        <x:v>주택용 저압 기타계절 400kWh 초과 전력량요금</x:v>
      </x:c>
      <x:c r="D17" s="88"/>
      <x:c r="E17" s="88"/>
      <x:c r="F17" s="88"/>
    </x:row>
    <x:row r="18">
      <x:c r="A18" s="89" t="str">
        <x:v>기후환경요금단가(원/kWh)</x:v>
      </x:c>
      <x:c r="B18" s="92" t="n">
        <x:v>0</x:v>
      </x:c>
      <x:c r="C18" s="89" t="str">
        <x:v>최신 단가 확인 후 사용자가 입력</x:v>
      </x:c>
      <x:c r="D18" s="88"/>
      <x:c r="E18" s="88"/>
      <x:c r="F18" s="88"/>
    </x:row>
    <x:row r="19">
      <x:c r="A19" s="89" t="str">
        <x:v>연료비조정단가(원/kWh)</x:v>
      </x:c>
      <x:c r="B19" s="92" t="n">
        <x:v>0</x:v>
      </x:c>
      <x:c r="C19" s="89" t="str">
        <x:v>최신 단가 확인 후 사용자가 입력</x:v>
      </x:c>
      <x:c r="D19" s="88"/>
      <x:c r="E19" s="88"/>
      <x:c r="F19" s="88"/>
    </x:row>
    <x:row r="20">
      <x:c r="A20" s="89" t="str">
        <x:v>부가가치세율</x:v>
      </x:c>
      <x:c r="B20" s="92" t="n">
        <x:v>0.1</x:v>
      </x:c>
      <x:c r="C20" s="89" t="str">
        <x:v>전기요금의 10%</x:v>
      </x:c>
      <x:c r="D20" s="88"/>
      <x:c r="E20" s="88"/>
      <x:c r="F20" s="88"/>
    </x:row>
    <x:row r="21">
      <x:c r="A21" s="89" t="str">
        <x:v>전력산업기반기금율</x:v>
      </x:c>
      <x:c r="B21" s="92" t="n">
        <x:v>0.027</x:v>
      </x:c>
      <x:c r="C21" s="89" t="str">
        <x:v>전기요금의 2.7%</x:v>
      </x:c>
      <x:c r="D21" s="88"/>
      <x:c r="E21" s="88"/>
      <x:c r="F21" s="88"/>
    </x:row>
    <x:row r="22">
      <x:c r="A22" s="89" t="str">
        <x:v>상세결과_계절</x:v>
      </x:c>
      <x:c r="B22" s="92" t="str">
        <x:v>여름</x:v>
      </x:c>
      <x:c r="C22" s="89" t="str">
        <x:v>상세 부하곡선 출력 대상</x:v>
      </x:c>
      <x:c r="D22" s="88"/>
      <x:c r="E22" s="88"/>
      <x:c r="F22" s="88"/>
    </x:row>
    <x:row r="23">
      <x:c r="A23" s="89" t="str">
        <x:v>상세결과_요금제</x:v>
      </x:c>
      <x:c r="B23" s="92" t="str">
        <x:v>기본형</x:v>
      </x:c>
      <x:c r="C23" s="89" t="str">
        <x:v>상세 부하곡선 출력 대상</x:v>
      </x:c>
      <x:c r="D23" s="88"/>
      <x:c r="E23" s="88"/>
      <x:c r="F23" s="88"/>
    </x:row>
    <x:row r="24">
      <x:c r="A24" s="89" t="str">
        <x:v>상세결과_냉난방모드</x:v>
      </x:c>
      <x:c r="B24" s="92" t="str">
        <x:v>균형</x:v>
      </x:c>
      <x:c r="C24" s="89" t="str">
        <x:v>편의 우선/균형/절약 우선</x:v>
      </x:c>
      <x:c r="D24" s="88"/>
      <x:c r="E24" s="88"/>
      <x:c r="F24" s="88"/>
    </x:row>
    <x:row r="25">
      <x:c r="A25" s="89" t="str">
        <x:v>상세결과_초과단가</x:v>
      </x:c>
      <x:c r="B25" s="92" t="n">
        <x:v>300</x:v>
      </x:c>
      <x:c r="C25" s="89" t="str">
        <x:v>원/kWh</x:v>
      </x:c>
      <x:c r="D25" s="88"/>
      <x:c r="E25" s="88"/>
      <x:c r="F25" s="88"/>
    </x:row>
  </x:sheetData>
  <x:mergeCells>
    <x:mergeCell ref="A1:F1"/>
  </x:mergeCells>
  <x:dataValidations count="1">
    <x:dataValidation type="list" sqref="E4:E6">
      <x:formula1>"Y,N"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14" hidden="0" customWidth="1"/>
    <x:col min="5" max="5" width="24" hidden="0" customWidth="1"/>
  </x:cols>
  <x:sheetData>
    <x:row r="1">
      <x:c r="A1" s="76" t="str">
        <x:v>한전 공급비용·계통부담 상대 가중치(수정 가능)</x:v>
      </x:c>
      <x:c r="B1" s="76"/>
      <x:c r="C1" s="76"/>
      <x:c r="D1" s="76"/>
      <x:c r="E1" s="76"/>
    </x:row>
    <x:row r="3">
      <x:c r="A3" s="82" t="str">
        <x:v>시간</x:v>
      </x:c>
      <x:c r="B3" s="82" t="str">
        <x:v>봄가을</x:v>
      </x:c>
      <x:c r="C3" s="82" t="str">
        <x:v>여름</x:v>
      </x:c>
      <x:c r="D3" s="82" t="str">
        <x:v>겨울</x:v>
      </x:c>
      <x:c r="E3" s="82" t="str">
        <x:v>설명</x:v>
      </x:c>
    </x:row>
    <x:row r="4">
      <x:c r="A4" s="93" t="n">
        <x:v>0</x:v>
      </x:c>
      <x:c r="B4" s="93" t="n">
        <x:v>1</x:v>
      </x:c>
      <x:c r="C4" s="93" t="n">
        <x:v>1</x:v>
      </x:c>
      <x:c r="D4" s="93" t="n">
        <x:v>1</x:v>
      </x:c>
      <x:c r="E4" s="83" t="str">
        <x:v>00:00~01:00</x:v>
      </x:c>
    </x:row>
    <x:row r="5">
      <x:c r="A5" s="93" t="n">
        <x:v>1</x:v>
      </x:c>
      <x:c r="B5" s="93" t="n">
        <x:v>1</x:v>
      </x:c>
      <x:c r="C5" s="93" t="n">
        <x:v>1</x:v>
      </x:c>
      <x:c r="D5" s="93" t="n">
        <x:v>1</x:v>
      </x:c>
      <x:c r="E5" s="83" t="str">
        <x:v>01:00~02:00</x:v>
      </x:c>
    </x:row>
    <x:row r="6">
      <x:c r="A6" s="93" t="n">
        <x:v>2</x:v>
      </x:c>
      <x:c r="B6" s="93" t="n">
        <x:v>1</x:v>
      </x:c>
      <x:c r="C6" s="93" t="n">
        <x:v>1</x:v>
      </x:c>
      <x:c r="D6" s="93" t="n">
        <x:v>1</x:v>
      </x:c>
      <x:c r="E6" s="83" t="str">
        <x:v>02:00~03:00</x:v>
      </x:c>
    </x:row>
    <x:row r="7">
      <x:c r="A7" s="93" t="n">
        <x:v>3</x:v>
      </x:c>
      <x:c r="B7" s="93" t="n">
        <x:v>1</x:v>
      </x:c>
      <x:c r="C7" s="93" t="n">
        <x:v>1</x:v>
      </x:c>
      <x:c r="D7" s="93" t="n">
        <x:v>1</x:v>
      </x:c>
      <x:c r="E7" s="83" t="str">
        <x:v>03:00~04:00</x:v>
      </x:c>
    </x:row>
    <x:row r="8">
      <x:c r="A8" s="93" t="n">
        <x:v>4</x:v>
      </x:c>
      <x:c r="B8" s="93" t="n">
        <x:v>1</x:v>
      </x:c>
      <x:c r="C8" s="93" t="n">
        <x:v>1</x:v>
      </x:c>
      <x:c r="D8" s="93" t="n">
        <x:v>1</x:v>
      </x:c>
      <x:c r="E8" s="83" t="str">
        <x:v>04:00~05:00</x:v>
      </x:c>
    </x:row>
    <x:row r="9">
      <x:c r="A9" s="93" t="n">
        <x:v>5</x:v>
      </x:c>
      <x:c r="B9" s="93" t="n">
        <x:v>1</x:v>
      </x:c>
      <x:c r="C9" s="93" t="n">
        <x:v>1</x:v>
      </x:c>
      <x:c r="D9" s="93" t="n">
        <x:v>1</x:v>
      </x:c>
      <x:c r="E9" s="83" t="str">
        <x:v>05:00~06:00</x:v>
      </x:c>
    </x:row>
    <x:row r="10">
      <x:c r="A10" s="93" t="n">
        <x:v>6</x:v>
      </x:c>
      <x:c r="B10" s="93" t="n">
        <x:v>1</x:v>
      </x:c>
      <x:c r="C10" s="93" t="n">
        <x:v>1</x:v>
      </x:c>
      <x:c r="D10" s="93" t="n">
        <x:v>1</x:v>
      </x:c>
      <x:c r="E10" s="83" t="str">
        <x:v>06:00~07:00</x:v>
      </x:c>
    </x:row>
    <x:row r="11">
      <x:c r="A11" s="93" t="n">
        <x:v>7</x:v>
      </x:c>
      <x:c r="B11" s="93" t="n">
        <x:v>1</x:v>
      </x:c>
      <x:c r="C11" s="93" t="n">
        <x:v>1</x:v>
      </x:c>
      <x:c r="D11" s="93" t="n">
        <x:v>2</x:v>
      </x:c>
      <x:c r="E11" s="83" t="str">
        <x:v>07:00~08:00</x:v>
      </x:c>
    </x:row>
    <x:row r="12">
      <x:c r="A12" s="93" t="n">
        <x:v>8</x:v>
      </x:c>
      <x:c r="B12" s="93" t="n">
        <x:v>2</x:v>
      </x:c>
      <x:c r="C12" s="93" t="n">
        <x:v>2</x:v>
      </x:c>
      <x:c r="D12" s="93" t="n">
        <x:v>4</x:v>
      </x:c>
      <x:c r="E12" s="83" t="str">
        <x:v>08:00~09:00</x:v>
      </x:c>
    </x:row>
    <x:row r="13">
      <x:c r="A13" s="93" t="n">
        <x:v>9</x:v>
      </x:c>
      <x:c r="B13" s="93" t="n">
        <x:v>2</x:v>
      </x:c>
      <x:c r="C13" s="93" t="n">
        <x:v>2</x:v>
      </x:c>
      <x:c r="D13" s="93" t="n">
        <x:v>4</x:v>
      </x:c>
      <x:c r="E13" s="83" t="str">
        <x:v>09:00~10:00</x:v>
      </x:c>
    </x:row>
    <x:row r="14">
      <x:c r="A14" s="93" t="n">
        <x:v>10</x:v>
      </x:c>
      <x:c r="B14" s="93" t="n">
        <x:v>2</x:v>
      </x:c>
      <x:c r="C14" s="93" t="n">
        <x:v>2</x:v>
      </x:c>
      <x:c r="D14" s="93" t="n">
        <x:v>4</x:v>
      </x:c>
      <x:c r="E14" s="83" t="str">
        <x:v>10:00~11:00</x:v>
      </x:c>
    </x:row>
    <x:row r="15">
      <x:c r="A15" s="93" t="n">
        <x:v>11</x:v>
      </x:c>
      <x:c r="B15" s="93" t="n">
        <x:v>2</x:v>
      </x:c>
      <x:c r="C15" s="93" t="n">
        <x:v>2</x:v>
      </x:c>
      <x:c r="D15" s="93" t="n">
        <x:v>2</x:v>
      </x:c>
      <x:c r="E15" s="83" t="str">
        <x:v>11:00~12:00</x:v>
      </x:c>
    </x:row>
    <x:row r="16">
      <x:c r="A16" s="93" t="n">
        <x:v>12</x:v>
      </x:c>
      <x:c r="B16" s="93" t="n">
        <x:v>2</x:v>
      </x:c>
      <x:c r="C16" s="93" t="n">
        <x:v>2</x:v>
      </x:c>
      <x:c r="D16" s="93" t="n">
        <x:v>2</x:v>
      </x:c>
      <x:c r="E16" s="83" t="str">
        <x:v>12:00~13:00</x:v>
      </x:c>
    </x:row>
    <x:row r="17">
      <x:c r="A17" s="93" t="n">
        <x:v>13</x:v>
      </x:c>
      <x:c r="B17" s="93" t="n">
        <x:v>2</x:v>
      </x:c>
      <x:c r="C17" s="93" t="n">
        <x:v>2</x:v>
      </x:c>
      <x:c r="D17" s="93" t="n">
        <x:v>2</x:v>
      </x:c>
      <x:c r="E17" s="83" t="str">
        <x:v>13:00~14:00</x:v>
      </x:c>
    </x:row>
    <x:row r="18">
      <x:c r="A18" s="93" t="n">
        <x:v>14</x:v>
      </x:c>
      <x:c r="B18" s="93" t="n">
        <x:v>2</x:v>
      </x:c>
      <x:c r="C18" s="93" t="n">
        <x:v>4</x:v>
      </x:c>
      <x:c r="D18" s="93" t="n">
        <x:v>2</x:v>
      </x:c>
      <x:c r="E18" s="83" t="str">
        <x:v>14:00~15:00</x:v>
      </x:c>
    </x:row>
    <x:row r="19">
      <x:c r="A19" s="93" t="n">
        <x:v>15</x:v>
      </x:c>
      <x:c r="B19" s="93" t="n">
        <x:v>2</x:v>
      </x:c>
      <x:c r="C19" s="93" t="n">
        <x:v>4</x:v>
      </x:c>
      <x:c r="D19" s="93" t="n">
        <x:v>2</x:v>
      </x:c>
      <x:c r="E19" s="83" t="str">
        <x:v>15:00~16:00</x:v>
      </x:c>
    </x:row>
    <x:row r="20">
      <x:c r="A20" s="93" t="n">
        <x:v>16</x:v>
      </x:c>
      <x:c r="B20" s="93" t="n">
        <x:v>2</x:v>
      </x:c>
      <x:c r="C20" s="93" t="n">
        <x:v>4</x:v>
      </x:c>
      <x:c r="D20" s="93" t="n">
        <x:v>2</x:v>
      </x:c>
      <x:c r="E20" s="83" t="str">
        <x:v>16:00~17:00</x:v>
      </x:c>
    </x:row>
    <x:row r="21">
      <x:c r="A21" s="93" t="n">
        <x:v>17</x:v>
      </x:c>
      <x:c r="B21" s="93" t="n">
        <x:v>4</x:v>
      </x:c>
      <x:c r="C21" s="93" t="n">
        <x:v>4</x:v>
      </x:c>
      <x:c r="D21" s="93" t="n">
        <x:v>4</x:v>
      </x:c>
      <x:c r="E21" s="83" t="str">
        <x:v>17:00~18:00</x:v>
      </x:c>
    </x:row>
    <x:row r="22">
      <x:c r="A22" s="93" t="n">
        <x:v>18</x:v>
      </x:c>
      <x:c r="B22" s="93" t="n">
        <x:v>4</x:v>
      </x:c>
      <x:c r="C22" s="93" t="n">
        <x:v>4</x:v>
      </x:c>
      <x:c r="D22" s="93" t="n">
        <x:v>4</x:v>
      </x:c>
      <x:c r="E22" s="83" t="str">
        <x:v>18:00~19:00</x:v>
      </x:c>
    </x:row>
    <x:row r="23">
      <x:c r="A23" s="93" t="n">
        <x:v>19</x:v>
      </x:c>
      <x:c r="B23" s="93" t="n">
        <x:v>4</x:v>
      </x:c>
      <x:c r="C23" s="93" t="n">
        <x:v>4</x:v>
      </x:c>
      <x:c r="D23" s="93" t="n">
        <x:v>4</x:v>
      </x:c>
      <x:c r="E23" s="83" t="str">
        <x:v>19:00~20:00</x:v>
      </x:c>
    </x:row>
    <x:row r="24">
      <x:c r="A24" s="93" t="n">
        <x:v>20</x:v>
      </x:c>
      <x:c r="B24" s="93" t="n">
        <x:v>4</x:v>
      </x:c>
      <x:c r="C24" s="93" t="n">
        <x:v>4</x:v>
      </x:c>
      <x:c r="D24" s="93" t="n">
        <x:v>4</x:v>
      </x:c>
      <x:c r="E24" s="83" t="str">
        <x:v>20:00~21:00</x:v>
      </x:c>
    </x:row>
    <x:row r="25">
      <x:c r="A25" s="93" t="n">
        <x:v>21</x:v>
      </x:c>
      <x:c r="B25" s="93" t="n">
        <x:v>2</x:v>
      </x:c>
      <x:c r="C25" s="93" t="n">
        <x:v>2</x:v>
      </x:c>
      <x:c r="D25" s="93" t="n">
        <x:v>2</x:v>
      </x:c>
      <x:c r="E25" s="83" t="str">
        <x:v>21:00~22:00</x:v>
      </x:c>
    </x:row>
    <x:row r="26">
      <x:c r="A26" s="93" t="n">
        <x:v>22</x:v>
      </x:c>
      <x:c r="B26" s="93" t="n">
        <x:v>2</x:v>
      </x:c>
      <x:c r="C26" s="93" t="n">
        <x:v>2</x:v>
      </x:c>
      <x:c r="D26" s="93" t="n">
        <x:v>2</x:v>
      </x:c>
      <x:c r="E26" s="83" t="str">
        <x:v>22:00~23:00</x:v>
      </x:c>
    </x:row>
    <x:row r="27">
      <x:c r="A27" s="93" t="n">
        <x:v>23</x:v>
      </x:c>
      <x:c r="B27" s="93" t="n">
        <x:v>1</x:v>
      </x:c>
      <x:c r="C27" s="93" t="n">
        <x:v>1</x:v>
      </x:c>
      <x:c r="D27" s="93" t="n">
        <x:v>1</x:v>
      </x:c>
      <x:c r="E27" s="83" t="str">
        <x:v>23:00~00:00</x:v>
      </x:c>
    </x:row>
  </x:sheetData>
  <x:mergeCells>
    <x:mergeCell ref="A1:E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30" hidden="0" customWidth="1"/>
    <x:col min="3" max="3" width="14" hidden="0" customWidth="1"/>
    <x:col min="4" max="4" width="14" hidden="0" customWidth="1"/>
    <x:col min="5" max="5" width="10" hidden="0" customWidth="1"/>
    <x:col min="6" max="6" width="16" hidden="0" customWidth="1"/>
    <x:col min="7" max="7" width="16" hidden="0" customWidth="1"/>
    <x:col min="8" max="8" width="15" hidden="0" customWidth="1"/>
    <x:col min="9" max="9" width="15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48" hidden="0" customWidth="1"/>
  </x:cols>
  <x:sheetData>
    <x:row r="1">
      <x:c r="A1" s="76" t="str">
        <x:v>가전별 자동제어 조건(고객 사전 동의 및 수동해제 우선)</x:v>
      </x:c>
      <x:c r="B1" s="76"/>
      <x:c r="C1" s="76"/>
      <x:c r="D1" s="76"/>
      <x:c r="E1" s="76"/>
      <x:c r="F1" s="76"/>
      <x:c r="G1" s="76"/>
      <x:c r="H1" s="76"/>
      <x:c r="I1" s="76"/>
      <x:c r="J1" s="76"/>
      <x:c r="K1" s="76"/>
      <x:c r="L1" s="76"/>
      <x:c r="M1" s="76"/>
      <x:c r="N1" s="76"/>
      <x:c r="O1" s="76"/>
      <x:c r="P1" s="76"/>
    </x:row>
    <x:row r="3">
      <x:c r="A3" s="82" t="str">
        <x:v>No</x:v>
      </x:c>
      <x:c r="B3" s="82" t="str">
        <x:v>가전기기</x:v>
      </x:c>
      <x:c r="C3" s="82" t="str">
        <x:v>원자료 수요이전</x:v>
      </x:c>
      <x:c r="D3" s="82" t="str">
        <x:v>제어유형</x:v>
      </x:c>
      <x:c r="E3" s="82" t="str">
        <x:v>적용여부</x:v>
      </x:c>
      <x:c r="F3" s="82" t="str">
        <x:v>주중 허용시간</x:v>
      </x:c>
      <x:c r="G3" s="82" t="str">
        <x:v>주말 허용시간</x:v>
      </x:c>
      <x:c r="H3" s="82" t="str">
        <x:v>최대사용시간_주중</x:v>
      </x:c>
      <x:c r="I3" s="82" t="str">
        <x:v>최대사용시간_주말</x:v>
      </x:c>
      <x:c r="J3" s="82" t="str">
        <x:v>최대감축률_편의</x:v>
      </x:c>
      <x:c r="K3" s="82" t="str">
        <x:v>최대감축률_균형</x:v>
      </x:c>
      <x:c r="L3" s="82" t="str">
        <x:v>최대감축률_절약</x:v>
      </x:c>
      <x:c r="M3" s="82" t="str">
        <x:v>제어우선순위</x:v>
      </x:c>
      <x:c r="N3" s="82" t="str">
        <x:v>지연불편가중치</x:v>
      </x:c>
      <x:c r="O3" s="82" t="str">
        <x:v>감축불편가중치</x:v>
      </x:c>
      <x:c r="P3" s="82" t="str">
        <x:v>비고</x:v>
      </x:c>
    </x:row>
    <x:row r="4">
      <x:c r="A4" s="89" t="n">
        <x:v>1</x:v>
      </x:c>
      <x:c r="B4" s="89" t="str">
        <x:v>냉장고</x:v>
      </x:c>
      <x:c r="C4" s="89" t="str">
        <x:v>불가</x:v>
      </x:c>
      <x:c r="D4" s="89" t="str">
        <x:v>비제어</x:v>
      </x:c>
      <x:c r="E4" s="89" t="str">
        <x:v>N</x:v>
      </x:c>
      <x:c r="F4" s="89" t="str"/>
      <x:c r="G4" s="89" t="str"/>
      <x:c r="H4" s="89"/>
      <x:c r="I4" s="89"/>
      <x:c r="J4" s="95" t="n">
        <x:v>0</x:v>
      </x:c>
      <x:c r="K4" s="95" t="n">
        <x:v>0</x:v>
      </x:c>
      <x:c r="L4" s="95" t="n">
        <x:v>0</x:v>
      </x:c>
      <x:c r="M4" s="89" t="n">
        <x:v>9</x:v>
      </x:c>
      <x:c r="N4" s="89" t="n">
        <x:v>0</x:v>
      </x:c>
      <x:c r="O4" s="89" t="n">
        <x:v>0</x:v>
      </x:c>
      <x:c r="P4" s="89" t="str">
        <x:v>원자료 기준 비제어</x:v>
      </x:c>
    </x:row>
    <x:row r="5">
      <x:c r="A5" s="89" t="n">
        <x:v>2</x:v>
      </x:c>
      <x:c r="B5" s="89" t="str">
        <x:v>김치냉장고</x:v>
      </x:c>
      <x:c r="C5" s="89" t="str">
        <x:v>불가</x:v>
      </x:c>
      <x:c r="D5" s="89" t="str">
        <x:v>비제어</x:v>
      </x:c>
      <x:c r="E5" s="89" t="str">
        <x:v>N</x:v>
      </x:c>
      <x:c r="F5" s="89" t="str"/>
      <x:c r="G5" s="89" t="str"/>
      <x:c r="H5" s="89"/>
      <x:c r="I5" s="89"/>
      <x:c r="J5" s="95" t="n">
        <x:v>0</x:v>
      </x:c>
      <x:c r="K5" s="95" t="n">
        <x:v>0</x:v>
      </x:c>
      <x:c r="L5" s="95" t="n">
        <x:v>0</x:v>
      </x:c>
      <x:c r="M5" s="89" t="n">
        <x:v>9</x:v>
      </x:c>
      <x:c r="N5" s="89" t="n">
        <x:v>0</x:v>
      </x:c>
      <x:c r="O5" s="89" t="n">
        <x:v>0</x:v>
      </x:c>
      <x:c r="P5" s="89" t="str">
        <x:v>원자료 기준 비제어</x:v>
      </x:c>
    </x:row>
    <x:row r="6">
      <x:c r="A6" s="89" t="n">
        <x:v>3</x:v>
      </x:c>
      <x:c r="B6" s="89" t="str">
        <x:v>냉동고</x:v>
      </x:c>
      <x:c r="C6" s="89" t="str">
        <x:v>불가</x:v>
      </x:c>
      <x:c r="D6" s="89" t="str">
        <x:v>비제어</x:v>
      </x:c>
      <x:c r="E6" s="89" t="str">
        <x:v>N</x:v>
      </x:c>
      <x:c r="F6" s="89" t="str"/>
      <x:c r="G6" s="89" t="str"/>
      <x:c r="H6" s="89"/>
      <x:c r="I6" s="89"/>
      <x:c r="J6" s="95" t="n">
        <x:v>0</x:v>
      </x:c>
      <x:c r="K6" s="95" t="n">
        <x:v>0</x:v>
      </x:c>
      <x:c r="L6" s="95" t="n">
        <x:v>0</x:v>
      </x:c>
      <x:c r="M6" s="89" t="n">
        <x:v>9</x:v>
      </x:c>
      <x:c r="N6" s="89" t="n">
        <x:v>0</x:v>
      </x:c>
      <x:c r="O6" s="89" t="n">
        <x:v>0</x:v>
      </x:c>
      <x:c r="P6" s="89" t="str">
        <x:v>원자료 기준 비제어</x:v>
      </x:c>
    </x:row>
    <x:row r="7">
      <x:c r="A7" s="89" t="n">
        <x:v>4</x:v>
      </x:c>
      <x:c r="B7" s="89" t="str">
        <x:v>정수기</x:v>
      </x:c>
      <x:c r="C7" s="89" t="str">
        <x:v>불가</x:v>
      </x:c>
      <x:c r="D7" s="89" t="str">
        <x:v>비제어</x:v>
      </x:c>
      <x:c r="E7" s="89" t="str">
        <x:v>N</x:v>
      </x:c>
      <x:c r="F7" s="89" t="str"/>
      <x:c r="G7" s="89" t="str"/>
      <x:c r="H7" s="89"/>
      <x:c r="I7" s="89"/>
      <x:c r="J7" s="95" t="n">
        <x:v>0</x:v>
      </x:c>
      <x:c r="K7" s="95" t="n">
        <x:v>0</x:v>
      </x:c>
      <x:c r="L7" s="95" t="n">
        <x:v>0</x:v>
      </x:c>
      <x:c r="M7" s="89" t="n">
        <x:v>9</x:v>
      </x:c>
      <x:c r="N7" s="89" t="n">
        <x:v>0</x:v>
      </x:c>
      <x:c r="O7" s="89" t="n">
        <x:v>0</x:v>
      </x:c>
      <x:c r="P7" s="89" t="str">
        <x:v>원자료 기준 비제어</x:v>
      </x:c>
    </x:row>
    <x:row r="8">
      <x:c r="A8" s="89" t="n">
        <x:v>5</x:v>
      </x:c>
      <x:c r="B8" s="89" t="str">
        <x:v>공유기·모뎀</x:v>
      </x:c>
      <x:c r="C8" s="89" t="str">
        <x:v>불가</x:v>
      </x:c>
      <x:c r="D8" s="89" t="str">
        <x:v>비제어</x:v>
      </x:c>
      <x:c r="E8" s="89" t="str">
        <x:v>N</x:v>
      </x:c>
      <x:c r="F8" s="89" t="str"/>
      <x:c r="G8" s="89" t="str"/>
      <x:c r="H8" s="89"/>
      <x:c r="I8" s="89"/>
      <x:c r="J8" s="95" t="n">
        <x:v>0</x:v>
      </x:c>
      <x:c r="K8" s="95" t="n">
        <x:v>0</x:v>
      </x:c>
      <x:c r="L8" s="95" t="n">
        <x:v>0</x:v>
      </x:c>
      <x:c r="M8" s="89" t="n">
        <x:v>9</x:v>
      </x:c>
      <x:c r="N8" s="89" t="n">
        <x:v>0</x:v>
      </x:c>
      <x:c r="O8" s="89" t="n">
        <x:v>0</x:v>
      </x:c>
      <x:c r="P8" s="89" t="str">
        <x:v>원자료 기준 비제어</x:v>
      </x:c>
    </x:row>
    <x:row r="9">
      <x:c r="A9" s="89" t="n">
        <x:v>6</x:v>
      </x:c>
      <x:c r="B9" s="89" t="str">
        <x:v>스마트홈·CCTV</x:v>
      </x:c>
      <x:c r="C9" s="89" t="str">
        <x:v>불가</x:v>
      </x:c>
      <x:c r="D9" s="89" t="str">
        <x:v>비제어</x:v>
      </x:c>
      <x:c r="E9" s="89" t="str">
        <x:v>N</x:v>
      </x:c>
      <x:c r="F9" s="89" t="str"/>
      <x:c r="G9" s="89" t="str"/>
      <x:c r="H9" s="89"/>
      <x:c r="I9" s="89"/>
      <x:c r="J9" s="95" t="n">
        <x:v>0</x:v>
      </x:c>
      <x:c r="K9" s="95" t="n">
        <x:v>0</x:v>
      </x:c>
      <x:c r="L9" s="95" t="n">
        <x:v>0</x:v>
      </x:c>
      <x:c r="M9" s="89" t="n">
        <x:v>9</x:v>
      </x:c>
      <x:c r="N9" s="89" t="n">
        <x:v>0</x:v>
      </x:c>
      <x:c r="O9" s="89" t="n">
        <x:v>0</x:v>
      </x:c>
      <x:c r="P9" s="89" t="str">
        <x:v>원자료 기준 비제어</x:v>
      </x:c>
    </x:row>
    <x:row r="10">
      <x:c r="A10" s="89" t="n">
        <x:v>7</x:v>
      </x:c>
      <x:c r="B10" s="89" t="str">
        <x:v>대기전력·충전대기</x:v>
      </x:c>
      <x:c r="C10" s="89" t="str">
        <x:v>불가</x:v>
      </x:c>
      <x:c r="D10" s="89" t="str">
        <x:v>비제어</x:v>
      </x:c>
      <x:c r="E10" s="89" t="str">
        <x:v>N</x:v>
      </x:c>
      <x:c r="F10" s="89" t="str"/>
      <x:c r="G10" s="89" t="str"/>
      <x:c r="H10" s="89"/>
      <x:c r="I10" s="89"/>
      <x:c r="J10" s="95" t="n">
        <x:v>0</x:v>
      </x:c>
      <x:c r="K10" s="95" t="n">
        <x:v>0</x:v>
      </x:c>
      <x:c r="L10" s="95" t="n">
        <x:v>0</x:v>
      </x:c>
      <x:c r="M10" s="89" t="n">
        <x:v>9</x:v>
      </x:c>
      <x:c r="N10" s="89" t="n">
        <x:v>0</x:v>
      </x:c>
      <x:c r="O10" s="89" t="n">
        <x:v>0</x:v>
      </x:c>
      <x:c r="P10" s="89" t="str">
        <x:v>원자료 기준 비제어</x:v>
      </x:c>
    </x:row>
    <x:row r="11">
      <x:c r="A11" s="89" t="n">
        <x:v>8</x:v>
      </x:c>
      <x:c r="B11" s="89" t="str">
        <x:v>비데</x:v>
      </x:c>
      <x:c r="C11" s="89" t="str">
        <x:v>불가</x:v>
      </x:c>
      <x:c r="D11" s="89" t="str">
        <x:v>비제어</x:v>
      </x:c>
      <x:c r="E11" s="89" t="str">
        <x:v>N</x:v>
      </x:c>
      <x:c r="F11" s="89" t="str"/>
      <x:c r="G11" s="89" t="str"/>
      <x:c r="H11" s="89"/>
      <x:c r="I11" s="89"/>
      <x:c r="J11" s="95" t="n">
        <x:v>0</x:v>
      </x:c>
      <x:c r="K11" s="95" t="n">
        <x:v>0</x:v>
      </x:c>
      <x:c r="L11" s="95" t="n">
        <x:v>0</x:v>
      </x:c>
      <x:c r="M11" s="89" t="n">
        <x:v>9</x:v>
      </x:c>
      <x:c r="N11" s="89" t="n">
        <x:v>0</x:v>
      </x:c>
      <x:c r="O11" s="89" t="n">
        <x:v>0</x:v>
      </x:c>
      <x:c r="P11" s="89" t="str">
        <x:v>원자료 기준 비제어</x:v>
      </x:c>
    </x:row>
    <x:row r="12">
      <x:c r="A12" s="89" t="n">
        <x:v>9</x:v>
      </x:c>
      <x:c r="B12" s="89" t="str">
        <x:v>공기청정기</x:v>
      </x:c>
      <x:c r="C12" s="89" t="str">
        <x:v>불가</x:v>
      </x:c>
      <x:c r="D12" s="89" t="str">
        <x:v>비제어</x:v>
      </x:c>
      <x:c r="E12" s="89" t="str">
        <x:v>N</x:v>
      </x:c>
      <x:c r="F12" s="89" t="str"/>
      <x:c r="G12" s="89" t="str"/>
      <x:c r="H12" s="89"/>
      <x:c r="I12" s="89"/>
      <x:c r="J12" s="95" t="n">
        <x:v>0</x:v>
      </x:c>
      <x:c r="K12" s="95" t="n">
        <x:v>0</x:v>
      </x:c>
      <x:c r="L12" s="95" t="n">
        <x:v>0</x:v>
      </x:c>
      <x:c r="M12" s="89" t="n">
        <x:v>9</x:v>
      </x:c>
      <x:c r="N12" s="89" t="n">
        <x:v>0</x:v>
      </x:c>
      <x:c r="O12" s="89" t="n">
        <x:v>0</x:v>
      </x:c>
      <x:c r="P12" s="89" t="str">
        <x:v>원자료 기준 비제어</x:v>
      </x:c>
    </x:row>
    <x:row r="13">
      <x:c r="A13" s="89" t="n">
        <x:v>10</x:v>
      </x:c>
      <x:c r="B13" s="89" t="str">
        <x:v>환기장치·욕실팬</x:v>
      </x:c>
      <x:c r="C13" s="89" t="str">
        <x:v>불가</x:v>
      </x:c>
      <x:c r="D13" s="89" t="str">
        <x:v>비제어</x:v>
      </x:c>
      <x:c r="E13" s="89" t="str">
        <x:v>N</x:v>
      </x:c>
      <x:c r="F13" s="89" t="str"/>
      <x:c r="G13" s="89" t="str"/>
      <x:c r="H13" s="89"/>
      <x:c r="I13" s="89"/>
      <x:c r="J13" s="95" t="n">
        <x:v>0</x:v>
      </x:c>
      <x:c r="K13" s="95" t="n">
        <x:v>0</x:v>
      </x:c>
      <x:c r="L13" s="95" t="n">
        <x:v>0</x:v>
      </x:c>
      <x:c r="M13" s="89" t="n">
        <x:v>9</x:v>
      </x:c>
      <x:c r="N13" s="89" t="n">
        <x:v>0</x:v>
      </x:c>
      <x:c r="O13" s="89" t="n">
        <x:v>0</x:v>
      </x:c>
      <x:c r="P13" s="89" t="str">
        <x:v>원자료 기준 비제어</x:v>
      </x:c>
    </x:row>
    <x:row r="14">
      <x:c r="A14" s="89" t="n">
        <x:v>11</x:v>
      </x:c>
      <x:c r="B14" s="89" t="str">
        <x:v>LED조명</x:v>
      </x:c>
      <x:c r="C14" s="89" t="str">
        <x:v>불가</x:v>
      </x:c>
      <x:c r="D14" s="89" t="str">
        <x:v>비제어</x:v>
      </x:c>
      <x:c r="E14" s="89" t="str">
        <x:v>N</x:v>
      </x:c>
      <x:c r="F14" s="89" t="str"/>
      <x:c r="G14" s="89" t="str"/>
      <x:c r="H14" s="89"/>
      <x:c r="I14" s="89"/>
      <x:c r="J14" s="95" t="n">
        <x:v>0</x:v>
      </x:c>
      <x:c r="K14" s="95" t="n">
        <x:v>0</x:v>
      </x:c>
      <x:c r="L14" s="95" t="n">
        <x:v>0</x:v>
      </x:c>
      <x:c r="M14" s="89" t="n">
        <x:v>9</x:v>
      </x:c>
      <x:c r="N14" s="89" t="n">
        <x:v>0</x:v>
      </x:c>
      <x:c r="O14" s="89" t="n">
        <x:v>0</x:v>
      </x:c>
      <x:c r="P14" s="89" t="str">
        <x:v>원자료 기준 비제어</x:v>
      </x:c>
    </x:row>
    <x:row r="15">
      <x:c r="A15" s="89" t="n">
        <x:v>12</x:v>
      </x:c>
      <x:c r="B15" s="89" t="str">
        <x:v>TV</x:v>
      </x:c>
      <x:c r="C15" s="89" t="str">
        <x:v>불가</x:v>
      </x:c>
      <x:c r="D15" s="89" t="str">
        <x:v>행동제어</x:v>
      </x:c>
      <x:c r="E15" s="89" t="str">
        <x:v>Y</x:v>
      </x:c>
      <x:c r="F15" s="89" t="str">
        <x:v>17-24</x:v>
      </x:c>
      <x:c r="G15" s="89" t="str">
        <x:v>9-24</x:v>
      </x:c>
      <x:c r="H15" s="89" t="n">
        <x:v>8</x:v>
      </x:c>
      <x:c r="I15" s="89" t="n">
        <x:v>14</x:v>
      </x:c>
      <x:c r="J15" s="95" t="n">
        <x:v>0</x:v>
      </x:c>
      <x:c r="K15" s="95" t="n">
        <x:v>0.1</x:v>
      </x:c>
      <x:c r="L15" s="95" t="n">
        <x:v>0.2</x:v>
      </x:c>
      <x:c r="M15" s="89" t="n">
        <x:v>7</x:v>
      </x:c>
      <x:c r="N15" s="89" t="n">
        <x:v>0</x:v>
      </x:c>
      <x:c r="O15" s="89" t="n">
        <x:v>2</x:v>
      </x:c>
      <x:c r="P15" s="89" t="str">
        <x:v>사전 동의 범위 내 원격제어, 편의 우선 모드에서는 기준 사용을 최대한 유지</x:v>
      </x:c>
    </x:row>
    <x:row r="16">
      <x:c r="A16" s="89" t="n">
        <x:v>13</x:v>
      </x:c>
      <x:c r="B16" s="89" t="str">
        <x:v>셋톱박스·사운드바</x:v>
      </x:c>
      <x:c r="C16" s="89" t="str">
        <x:v>불가</x:v>
      </x:c>
      <x:c r="D16" s="89" t="str">
        <x:v>비제어</x:v>
      </x:c>
      <x:c r="E16" s="89" t="str">
        <x:v>N</x:v>
      </x:c>
      <x:c r="F16" s="89" t="str"/>
      <x:c r="G16" s="89" t="str"/>
      <x:c r="H16" s="89"/>
      <x:c r="I16" s="89"/>
      <x:c r="J16" s="95" t="n">
        <x:v>0</x:v>
      </x:c>
      <x:c r="K16" s="95" t="n">
        <x:v>0</x:v>
      </x:c>
      <x:c r="L16" s="95" t="n">
        <x:v>0</x:v>
      </x:c>
      <x:c r="M16" s="89" t="n">
        <x:v>9</x:v>
      </x:c>
      <x:c r="N16" s="89" t="n">
        <x:v>0</x:v>
      </x:c>
      <x:c r="O16" s="89" t="n">
        <x:v>0</x:v>
      </x:c>
      <x:c r="P16" s="89" t="str">
        <x:v>원자료 기준 비제어</x:v>
      </x:c>
    </x:row>
    <x:row r="17">
      <x:c r="A17" s="89" t="n">
        <x:v>14</x:v>
      </x:c>
      <x:c r="B17" s="89" t="str">
        <x:v>데스크톱·모니터</x:v>
      </x:c>
      <x:c r="C17" s="89" t="str">
        <x:v>불가</x:v>
      </x:c>
      <x:c r="D17" s="89" t="str">
        <x:v>알림</x:v>
      </x:c>
      <x:c r="E17" s="89" t="str">
        <x:v>N</x:v>
      </x:c>
      <x:c r="F17" s="89" t="str"/>
      <x:c r="G17" s="89" t="str"/>
      <x:c r="H17" s="89"/>
      <x:c r="I17" s="89"/>
      <x:c r="J17" s="95" t="n">
        <x:v>0</x:v>
      </x:c>
      <x:c r="K17" s="95" t="n">
        <x:v>0</x:v>
      </x:c>
      <x:c r="L17" s="95" t="n">
        <x:v>0</x:v>
      </x:c>
      <x:c r="M17" s="89" t="n">
        <x:v>9</x:v>
      </x:c>
      <x:c r="N17" s="89" t="n">
        <x:v>0</x:v>
      </x:c>
      <x:c r="O17" s="89" t="n">
        <x:v>0</x:v>
      </x:c>
      <x:c r="P17" s="89" t="str">
        <x:v>데이터 손실 방지를 위해 알림만 적용</x:v>
      </x:c>
    </x:row>
    <x:row r="18">
      <x:c r="A18" s="89" t="n">
        <x:v>15</x:v>
      </x:c>
      <x:c r="B18" s="89" t="str">
        <x:v>노트북·태블릿·휴대폰충전</x:v>
      </x:c>
      <x:c r="C18" s="89" t="str">
        <x:v>가능</x:v>
      </x:c>
      <x:c r="D18" s="89" t="str">
        <x:v>에너지이동</x:v>
      </x:c>
      <x:c r="E18" s="89" t="str">
        <x:v>Y</x:v>
      </x:c>
      <x:c r="F18" s="89" t="str">
        <x:v>22-7</x:v>
      </x:c>
      <x:c r="G18" s="89" t="str">
        <x:v>22-7</x:v>
      </x:c>
      <x:c r="H18" s="89"/>
      <x:c r="I18" s="89"/>
      <x:c r="J18" s="95" t="n">
        <x:v>0</x:v>
      </x:c>
      <x:c r="K18" s="95" t="n">
        <x:v>0</x:v>
      </x:c>
      <x:c r="L18" s="95" t="n">
        <x:v>0</x:v>
      </x:c>
      <x:c r="M18" s="89" t="n">
        <x:v>1</x:v>
      </x:c>
      <x:c r="N18" s="89" t="n">
        <x:v>1</x:v>
      </x:c>
      <x:c r="O18" s="89" t="n">
        <x:v>0</x:v>
      </x:c>
      <x:c r="P18" s="89" t="str">
        <x:v>취침 전 충전량을 다음 날 07시까지 이동</x:v>
      </x:c>
    </x:row>
    <x:row r="19">
      <x:c r="A19" s="89" t="n">
        <x:v>16</x:v>
      </x:c>
      <x:c r="B19" s="89" t="str">
        <x:v>게임콘솔</x:v>
      </x:c>
      <x:c r="C19" s="89" t="str">
        <x:v>가능</x:v>
      </x:c>
      <x:c r="D19" s="89" t="str">
        <x:v>행동제어</x:v>
      </x:c>
      <x:c r="E19" s="89" t="str">
        <x:v>Y</x:v>
      </x:c>
      <x:c r="F19" s="89" t="str">
        <x:v>18-24</x:v>
      </x:c>
      <x:c r="G19" s="89" t="str">
        <x:v>12-24</x:v>
      </x:c>
      <x:c r="H19" s="89" t="n">
        <x:v>3</x:v>
      </x:c>
      <x:c r="I19" s="89" t="n">
        <x:v>5</x:v>
      </x:c>
      <x:c r="J19" s="95" t="n">
        <x:v>0</x:v>
      </x:c>
      <x:c r="K19" s="95" t="n">
        <x:v>0.25</x:v>
      </x:c>
      <x:c r="L19" s="95" t="n">
        <x:v>0.5</x:v>
      </x:c>
      <x:c r="M19" s="89" t="n">
        <x:v>5</x:v>
      </x:c>
      <x:c r="N19" s="89" t="n">
        <x:v>0</x:v>
      </x:c>
      <x:c r="O19" s="89" t="n">
        <x:v>2</x:v>
      </x:c>
      <x:c r="P19" s="89" t="str">
        <x:v>사전 동의한 사용시간 제한·원격제어, 수동해제 가능</x:v>
      </x:c>
    </x:row>
    <x:row r="20">
      <x:c r="A20" s="89" t="n">
        <x:v>17</x:v>
      </x:c>
      <x:c r="B20" s="89" t="str">
        <x:v>전기밥솥_취사</x:v>
      </x:c>
      <x:c r="C20" s="89" t="str">
        <x:v>불가</x:v>
      </x:c>
      <x:c r="D20" s="89" t="str">
        <x:v>비제어</x:v>
      </x:c>
      <x:c r="E20" s="89" t="str">
        <x:v>N</x:v>
      </x:c>
      <x:c r="F20" s="89" t="str"/>
      <x:c r="G20" s="89" t="str"/>
      <x:c r="H20" s="89"/>
      <x:c r="I20" s="89"/>
      <x:c r="J20" s="95" t="n">
        <x:v>0</x:v>
      </x:c>
      <x:c r="K20" s="95" t="n">
        <x:v>0</x:v>
      </x:c>
      <x:c r="L20" s="95" t="n">
        <x:v>0</x:v>
      </x:c>
      <x:c r="M20" s="89" t="n">
        <x:v>9</x:v>
      </x:c>
      <x:c r="N20" s="89" t="n">
        <x:v>0</x:v>
      </x:c>
      <x:c r="O20" s="89" t="n">
        <x:v>0</x:v>
      </x:c>
      <x:c r="P20" s="89" t="str">
        <x:v>원자료 기준 비제어</x:v>
      </x:c>
    </x:row>
    <x:row r="21">
      <x:c r="A21" s="89" t="n">
        <x:v>18</x:v>
      </x:c>
      <x:c r="B21" s="89" t="str">
        <x:v>전기밥솥_보온</x:v>
      </x:c>
      <x:c r="C21" s="89" t="str">
        <x:v>불가</x:v>
      </x:c>
      <x:c r="D21" s="89" t="str">
        <x:v>비제어</x:v>
      </x:c>
      <x:c r="E21" s="89" t="str">
        <x:v>N</x:v>
      </x:c>
      <x:c r="F21" s="89" t="str"/>
      <x:c r="G21" s="89" t="str"/>
      <x:c r="H21" s="89"/>
      <x:c r="I21" s="89"/>
      <x:c r="J21" s="95" t="n">
        <x:v>0</x:v>
      </x:c>
      <x:c r="K21" s="95" t="n">
        <x:v>0</x:v>
      </x:c>
      <x:c r="L21" s="95" t="n">
        <x:v>0</x:v>
      </x:c>
      <x:c r="M21" s="89" t="n">
        <x:v>9</x:v>
      </x:c>
      <x:c r="N21" s="89" t="n">
        <x:v>0</x:v>
      </x:c>
      <x:c r="O21" s="89" t="n">
        <x:v>0</x:v>
      </x:c>
      <x:c r="P21" s="89" t="str">
        <x:v>원자료 기준 비제어</x:v>
      </x:c>
    </x:row>
    <x:row r="22">
      <x:c r="A22" s="89" t="n">
        <x:v>19</x:v>
      </x:c>
      <x:c r="B22" s="89" t="str">
        <x:v>인덕션·전기레인지</x:v>
      </x:c>
      <x:c r="C22" s="89" t="str">
        <x:v>불가</x:v>
      </x:c>
      <x:c r="D22" s="89" t="str">
        <x:v>비제어</x:v>
      </x:c>
      <x:c r="E22" s="89" t="str">
        <x:v>N</x:v>
      </x:c>
      <x:c r="F22" s="89" t="str"/>
      <x:c r="G22" s="89" t="str"/>
      <x:c r="H22" s="89"/>
      <x:c r="I22" s="89"/>
      <x:c r="J22" s="95" t="n">
        <x:v>0</x:v>
      </x:c>
      <x:c r="K22" s="95" t="n">
        <x:v>0</x:v>
      </x:c>
      <x:c r="L22" s="95" t="n">
        <x:v>0</x:v>
      </x:c>
      <x:c r="M22" s="89" t="n">
        <x:v>9</x:v>
      </x:c>
      <x:c r="N22" s="89" t="n">
        <x:v>0</x:v>
      </x:c>
      <x:c r="O22" s="89" t="n">
        <x:v>0</x:v>
      </x:c>
      <x:c r="P22" s="89" t="str">
        <x:v>원자료 기준 비제어</x:v>
      </x:c>
    </x:row>
    <x:row r="23">
      <x:c r="A23" s="89" t="n">
        <x:v>20</x:v>
      </x:c>
      <x:c r="B23" s="89" t="str">
        <x:v>전자레인지</x:v>
      </x:c>
      <x:c r="C23" s="89" t="str">
        <x:v>불가</x:v>
      </x:c>
      <x:c r="D23" s="89" t="str">
        <x:v>비제어</x:v>
      </x:c>
      <x:c r="E23" s="89" t="str">
        <x:v>N</x:v>
      </x:c>
      <x:c r="F23" s="89" t="str"/>
      <x:c r="G23" s="89" t="str"/>
      <x:c r="H23" s="89"/>
      <x:c r="I23" s="89"/>
      <x:c r="J23" s="95" t="n">
        <x:v>0</x:v>
      </x:c>
      <x:c r="K23" s="95" t="n">
        <x:v>0</x:v>
      </x:c>
      <x:c r="L23" s="95" t="n">
        <x:v>0</x:v>
      </x:c>
      <x:c r="M23" s="89" t="n">
        <x:v>9</x:v>
      </x:c>
      <x:c r="N23" s="89" t="n">
        <x:v>0</x:v>
      </x:c>
      <x:c r="O23" s="89" t="n">
        <x:v>0</x:v>
      </x:c>
      <x:c r="P23" s="89" t="str">
        <x:v>원자료 기준 비제어</x:v>
      </x:c>
    </x:row>
    <x:row r="24">
      <x:c r="A24" s="89" t="n">
        <x:v>21</x:v>
      </x:c>
      <x:c r="B24" s="89" t="str">
        <x:v>오븐·에어프라이어</x:v>
      </x:c>
      <x:c r="C24" s="89" t="str">
        <x:v>불가</x:v>
      </x:c>
      <x:c r="D24" s="89" t="str">
        <x:v>비제어</x:v>
      </x:c>
      <x:c r="E24" s="89" t="str">
        <x:v>N</x:v>
      </x:c>
      <x:c r="F24" s="89" t="str"/>
      <x:c r="G24" s="89" t="str"/>
      <x:c r="H24" s="89"/>
      <x:c r="I24" s="89"/>
      <x:c r="J24" s="95" t="n">
        <x:v>0</x:v>
      </x:c>
      <x:c r="K24" s="95" t="n">
        <x:v>0</x:v>
      </x:c>
      <x:c r="L24" s="95" t="n">
        <x:v>0</x:v>
      </x:c>
      <x:c r="M24" s="89" t="n">
        <x:v>9</x:v>
      </x:c>
      <x:c r="N24" s="89" t="n">
        <x:v>0</x:v>
      </x:c>
      <x:c r="O24" s="89" t="n">
        <x:v>0</x:v>
      </x:c>
      <x:c r="P24" s="89" t="str">
        <x:v>원자료 기준 비제어</x:v>
      </x:c>
    </x:row>
    <x:row r="25">
      <x:c r="A25" s="89" t="n">
        <x:v>22</x:v>
      </x:c>
      <x:c r="B25" s="89" t="str">
        <x:v>전기주전자·커피머신</x:v>
      </x:c>
      <x:c r="C25" s="89" t="str">
        <x:v>불가</x:v>
      </x:c>
      <x:c r="D25" s="89" t="str">
        <x:v>비제어</x:v>
      </x:c>
      <x:c r="E25" s="89" t="str">
        <x:v>N</x:v>
      </x:c>
      <x:c r="F25" s="89" t="str"/>
      <x:c r="G25" s="89" t="str"/>
      <x:c r="H25" s="89"/>
      <x:c r="I25" s="89"/>
      <x:c r="J25" s="95" t="n">
        <x:v>0</x:v>
      </x:c>
      <x:c r="K25" s="95" t="n">
        <x:v>0</x:v>
      </x:c>
      <x:c r="L25" s="95" t="n">
        <x:v>0</x:v>
      </x:c>
      <x:c r="M25" s="89" t="n">
        <x:v>9</x:v>
      </x:c>
      <x:c r="N25" s="89" t="n">
        <x:v>0</x:v>
      </x:c>
      <x:c r="O25" s="89" t="n">
        <x:v>0</x:v>
      </x:c>
      <x:c r="P25" s="89" t="str">
        <x:v>원자료 기준 비제어</x:v>
      </x:c>
    </x:row>
    <x:row r="26">
      <x:c r="A26" s="89" t="n">
        <x:v>23</x:v>
      </x:c>
      <x:c r="B26" s="89" t="str">
        <x:v>식기세척기</x:v>
      </x:c>
      <x:c r="C26" s="89" t="str">
        <x:v>가능</x:v>
      </x:c>
      <x:c r="D26" s="89" t="str">
        <x:v>사이클이동</x:v>
      </x:c>
      <x:c r="E26" s="89" t="str">
        <x:v>Y</x:v>
      </x:c>
      <x:c r="F26" s="89" t="str">
        <x:v>21-7</x:v>
      </x:c>
      <x:c r="G26" s="89" t="str">
        <x:v>13-17,21-7</x:v>
      </x:c>
      <x:c r="H26" s="89"/>
      <x:c r="I26" s="89"/>
      <x:c r="J26" s="95" t="n">
        <x:v>0</x:v>
      </x:c>
      <x:c r="K26" s="95" t="n">
        <x:v>0</x:v>
      </x:c>
      <x:c r="L26" s="95" t="n">
        <x:v>0</x:v>
      </x:c>
      <x:c r="M26" s="89" t="n">
        <x:v>2</x:v>
      </x:c>
      <x:c r="N26" s="89" t="n">
        <x:v>2</x:v>
      </x:c>
      <x:c r="O26" s="89" t="n">
        <x:v>0</x:v>
      </x:c>
      <x:c r="P26" s="89" t="str">
        <x:v>운전 에너지는 보존하고 완료시간 내 이동</x:v>
      </x:c>
    </x:row>
    <x:row r="27">
      <x:c r="A27" s="89" t="n">
        <x:v>24</x:v>
      </x:c>
      <x:c r="B27" s="89" t="str">
        <x:v>음식물처리기</x:v>
      </x:c>
      <x:c r="C27" s="89" t="str">
        <x:v>가능</x:v>
      </x:c>
      <x:c r="D27" s="89" t="str">
        <x:v>에너지이동</x:v>
      </x:c>
      <x:c r="E27" s="89" t="str">
        <x:v>Y</x:v>
      </x:c>
      <x:c r="F27" s="89" t="str">
        <x:v>20-24</x:v>
      </x:c>
      <x:c r="G27" s="89" t="str">
        <x:v>13-17,20-24</x:v>
      </x:c>
      <x:c r="H27" s="89"/>
      <x:c r="I27" s="89"/>
      <x:c r="J27" s="95" t="n">
        <x:v>0</x:v>
      </x:c>
      <x:c r="K27" s="95" t="n">
        <x:v>0</x:v>
      </x:c>
      <x:c r="L27" s="95" t="n">
        <x:v>0</x:v>
      </x:c>
      <x:c r="M27" s="89" t="n">
        <x:v>3</x:v>
      </x:c>
      <x:c r="N27" s="89" t="n">
        <x:v>3</x:v>
      </x:c>
      <x:c r="O27" s="89" t="n">
        <x:v>0</x:v>
      </x:c>
      <x:c r="P27" s="89" t="str">
        <x:v>저비용 시간대로 이동</x:v>
      </x:c>
    </x:row>
    <x:row r="28">
      <x:c r="A28" s="89" t="n">
        <x:v>25</x:v>
      </x:c>
      <x:c r="B28" s="89" t="str">
        <x:v>세탁기</x:v>
      </x:c>
      <x:c r="C28" s="89" t="str">
        <x:v>가능</x:v>
      </x:c>
      <x:c r="D28" s="89" t="str">
        <x:v>사이클이동</x:v>
      </x:c>
      <x:c r="E28" s="89" t="str">
        <x:v>Y</x:v>
      </x:c>
      <x:c r="F28" s="89" t="str">
        <x:v>20-7</x:v>
      </x:c>
      <x:c r="G28" s="89" t="str">
        <x:v>9-18,20-7</x:v>
      </x:c>
      <x:c r="H28" s="89"/>
      <x:c r="I28" s="89"/>
      <x:c r="J28" s="95" t="n">
        <x:v>0</x:v>
      </x:c>
      <x:c r="K28" s="95" t="n">
        <x:v>0</x:v>
      </x:c>
      <x:c r="L28" s="95" t="n">
        <x:v>0</x:v>
      </x:c>
      <x:c r="M28" s="89" t="n">
        <x:v>2</x:v>
      </x:c>
      <x:c r="N28" s="89" t="n">
        <x:v>2</x:v>
      </x:c>
      <x:c r="O28" s="89" t="n">
        <x:v>0</x:v>
      </x:c>
      <x:c r="P28" s="89" t="str">
        <x:v>주중은 야간, 주말은 주간·야간 이동</x:v>
      </x:c>
    </x:row>
    <x:row r="29">
      <x:c r="A29" s="89" t="n">
        <x:v>26</x:v>
      </x:c>
      <x:c r="B29" s="89" t="str">
        <x:v>의류건조기</x:v>
      </x:c>
      <x:c r="C29" s="89" t="str">
        <x:v>가능</x:v>
      </x:c>
      <x:c r="D29" s="89" t="str">
        <x:v>사이클이동</x:v>
      </x:c>
      <x:c r="E29" s="89" t="str">
        <x:v>Y</x:v>
      </x:c>
      <x:c r="F29" s="89" t="str">
        <x:v>21-7</x:v>
      </x:c>
      <x:c r="G29" s="89" t="str">
        <x:v>10-19,21-7</x:v>
      </x:c>
      <x:c r="H29" s="89"/>
      <x:c r="I29" s="89"/>
      <x:c r="J29" s="95" t="n">
        <x:v>0</x:v>
      </x:c>
      <x:c r="K29" s="95" t="n">
        <x:v>0</x:v>
      </x:c>
      <x:c r="L29" s="95" t="n">
        <x:v>0</x:v>
      </x:c>
      <x:c r="M29" s="89" t="n">
        <x:v>2</x:v>
      </x:c>
      <x:c r="N29" s="89" t="n">
        <x:v>2</x:v>
      </x:c>
      <x:c r="O29" s="89" t="n">
        <x:v>0</x:v>
      </x:c>
      <x:c r="P29" s="89" t="str">
        <x:v>세탁 후 운전 가정, 상세 선후행은 향후 고도화</x:v>
      </x:c>
    </x:row>
    <x:row r="30">
      <x:c r="A30" s="89" t="n">
        <x:v>27</x:v>
      </x:c>
      <x:c r="B30" s="89" t="str">
        <x:v>의류관리기</x:v>
      </x:c>
      <x:c r="C30" s="89" t="str">
        <x:v>가능</x:v>
      </x:c>
      <x:c r="D30" s="89" t="str">
        <x:v>사이클이동</x:v>
      </x:c>
      <x:c r="E30" s="89" t="str">
        <x:v>Y</x:v>
      </x:c>
      <x:c r="F30" s="89" t="str">
        <x:v>20-7</x:v>
      </x:c>
      <x:c r="G30" s="89" t="str">
        <x:v>18-7</x:v>
      </x:c>
      <x:c r="H30" s="89"/>
      <x:c r="I30" s="89"/>
      <x:c r="J30" s="95" t="n">
        <x:v>0</x:v>
      </x:c>
      <x:c r="K30" s="95" t="n">
        <x:v>0</x:v>
      </x:c>
      <x:c r="L30" s="95" t="n">
        <x:v>0</x:v>
      </x:c>
      <x:c r="M30" s="89" t="n">
        <x:v>3</x:v>
      </x:c>
      <x:c r="N30" s="89" t="n">
        <x:v>3</x:v>
      </x:c>
      <x:c r="O30" s="89" t="n">
        <x:v>0</x:v>
      </x:c>
      <x:c r="P30" s="89" t="str">
        <x:v>완료시간 내 이동</x:v>
      </x:c>
    </x:row>
    <x:row r="31">
      <x:c r="A31" s="89" t="n">
        <x:v>28</x:v>
      </x:c>
      <x:c r="B31" s="89" t="str">
        <x:v>로봇청소기</x:v>
      </x:c>
      <x:c r="C31" s="89" t="str">
        <x:v>가능</x:v>
      </x:c>
      <x:c r="D31" s="89" t="str">
        <x:v>사이클이동</x:v>
      </x:c>
      <x:c r="E31" s="89" t="str">
        <x:v>Y</x:v>
      </x:c>
      <x:c r="F31" s="89" t="str">
        <x:v>9-17</x:v>
      </x:c>
      <x:c r="G31" s="89" t="str">
        <x:v>9-17</x:v>
      </x:c>
      <x:c r="H31" s="89"/>
      <x:c r="I31" s="89"/>
      <x:c r="J31" s="95" t="n">
        <x:v>0</x:v>
      </x:c>
      <x:c r="K31" s="95" t="n">
        <x:v>0</x:v>
      </x:c>
      <x:c r="L31" s="95" t="n">
        <x:v>0</x:v>
      </x:c>
      <x:c r="M31" s="89" t="n">
        <x:v>1</x:v>
      </x:c>
      <x:c r="N31" s="89" t="n">
        <x:v>1</x:v>
      </x:c>
      <x:c r="O31" s="89" t="n">
        <x:v>0</x:v>
      </x:c>
      <x:c r="P31" s="89" t="str">
        <x:v>낮 시간대 이동</x:v>
      </x:c>
    </x:row>
    <x:row r="32">
      <x:c r="A32" s="89" t="n">
        <x:v>29</x:v>
      </x:c>
      <x:c r="B32" s="89" t="str">
        <x:v>무선청소기·충전</x:v>
      </x:c>
      <x:c r="C32" s="89" t="str">
        <x:v>가능</x:v>
      </x:c>
      <x:c r="D32" s="89" t="str">
        <x:v>에너지이동</x:v>
      </x:c>
      <x:c r="E32" s="89" t="str">
        <x:v>Y</x:v>
      </x:c>
      <x:c r="F32" s="89" t="str">
        <x:v>22-7</x:v>
      </x:c>
      <x:c r="G32" s="89" t="str">
        <x:v>18-7</x:v>
      </x:c>
      <x:c r="H32" s="89"/>
      <x:c r="I32" s="89"/>
      <x:c r="J32" s="95" t="n">
        <x:v>0</x:v>
      </x:c>
      <x:c r="K32" s="95" t="n">
        <x:v>0</x:v>
      </x:c>
      <x:c r="L32" s="95" t="n">
        <x:v>0</x:v>
      </x:c>
      <x:c r="M32" s="89" t="n">
        <x:v>1</x:v>
      </x:c>
      <x:c r="N32" s="89" t="n">
        <x:v>1</x:v>
      </x:c>
      <x:c r="O32" s="89" t="n">
        <x:v>0</x:v>
      </x:c>
      <x:c r="P32" s="89" t="str">
        <x:v>다음 사용 전까지 충전</x:v>
      </x:c>
    </x:row>
    <x:row r="33">
      <x:c r="A33" s="89" t="n">
        <x:v>30</x:v>
      </x:c>
      <x:c r="B33" s="89" t="str">
        <x:v>다리미·스팀다리미</x:v>
      </x:c>
      <x:c r="C33" s="89" t="str">
        <x:v>가능</x:v>
      </x:c>
      <x:c r="D33" s="89" t="str">
        <x:v>사이클이동</x:v>
      </x:c>
      <x:c r="E33" s="89" t="str">
        <x:v>Y</x:v>
      </x:c>
      <x:c r="F33" s="89" t="str">
        <x:v>18-22</x:v>
      </x:c>
      <x:c r="G33" s="89" t="str">
        <x:v>10-18</x:v>
      </x:c>
      <x:c r="H33" s="89"/>
      <x:c r="I33" s="89"/>
      <x:c r="J33" s="95" t="n">
        <x:v>0</x:v>
      </x:c>
      <x:c r="K33" s="95" t="n">
        <x:v>0</x:v>
      </x:c>
      <x:c r="L33" s="95" t="n">
        <x:v>0</x:v>
      </x:c>
      <x:c r="M33" s="89" t="n">
        <x:v>4</x:v>
      </x:c>
      <x:c r="N33" s="89" t="n">
        <x:v>4</x:v>
      </x:c>
      <x:c r="O33" s="89" t="n">
        <x:v>0</x:v>
      </x:c>
      <x:c r="P33" s="89" t="str">
        <x:v>허용 시간 내 이동</x:v>
      </x:c>
    </x:row>
    <x:row r="34">
      <x:c r="A34" s="89" t="n">
        <x:v>31</x:v>
      </x:c>
      <x:c r="B34" s="89" t="str">
        <x:v>헤어드라이어</x:v>
      </x:c>
      <x:c r="C34" s="89" t="str">
        <x:v>불가</x:v>
      </x:c>
      <x:c r="D34" s="89" t="str">
        <x:v>비제어</x:v>
      </x:c>
      <x:c r="E34" s="89" t="str">
        <x:v>N</x:v>
      </x:c>
      <x:c r="F34" s="89" t="str"/>
      <x:c r="G34" s="89" t="str"/>
      <x:c r="H34" s="89"/>
      <x:c r="I34" s="89"/>
      <x:c r="J34" s="95" t="n">
        <x:v>0</x:v>
      </x:c>
      <x:c r="K34" s="95" t="n">
        <x:v>0</x:v>
      </x:c>
      <x:c r="L34" s="95" t="n">
        <x:v>0</x:v>
      </x:c>
      <x:c r="M34" s="89" t="n">
        <x:v>9</x:v>
      </x:c>
      <x:c r="N34" s="89" t="n">
        <x:v>0</x:v>
      </x:c>
      <x:c r="O34" s="89" t="n">
        <x:v>0</x:v>
      </x:c>
      <x:c r="P34" s="89" t="str">
        <x:v>원자료 기준 비제어</x:v>
      </x:c>
    </x:row>
    <x:row r="35">
      <x:c r="A35" s="89" t="n">
        <x:v>32</x:v>
      </x:c>
      <x:c r="B35" s="89" t="str">
        <x:v>에어컨_거실</x:v>
      </x:c>
      <x:c r="C35" s="89" t="str">
        <x:v>가능</x:v>
      </x:c>
      <x:c r="D35" s="89" t="str">
        <x:v>출력조정</x:v>
      </x:c>
      <x:c r="E35" s="89" t="str">
        <x:v>Y</x:v>
      </x:c>
      <x:c r="F35" s="89" t="str"/>
      <x:c r="G35" s="89" t="str"/>
      <x:c r="H35" s="89"/>
      <x:c r="I35" s="89"/>
      <x:c r="J35" s="95" t="n">
        <x:v>0.05</x:v>
      </x:c>
      <x:c r="K35" s="95" t="n">
        <x:v>0.1</x:v>
      </x:c>
      <x:c r="L35" s="95" t="n">
        <x:v>0.15</x:v>
      </x:c>
      <x:c r="M35" s="89" t="n">
        <x:v>6</x:v>
      </x:c>
      <x:c r="N35" s="89" t="n">
        <x:v>0</x:v>
      </x:c>
      <x:c r="O35" s="89" t="n">
        <x:v>1</x:v>
      </x:c>
      <x:c r="P35" s="89" t="str">
        <x:v>사용 중인 시간대에서만 출력 감축</x:v>
      </x:c>
    </x:row>
    <x:row r="36">
      <x:c r="A36" s="89" t="n">
        <x:v>33</x:v>
      </x:c>
      <x:c r="B36" s="89" t="str">
        <x:v>에어컨_침실</x:v>
      </x:c>
      <x:c r="C36" s="89" t="str">
        <x:v>불가</x:v>
      </x:c>
      <x:c r="D36" s="89" t="str">
        <x:v>비제어</x:v>
      </x:c>
      <x:c r="E36" s="89" t="str">
        <x:v>N</x:v>
      </x:c>
      <x:c r="F36" s="89" t="str"/>
      <x:c r="G36" s="89" t="str"/>
      <x:c r="H36" s="89"/>
      <x:c r="I36" s="89"/>
      <x:c r="J36" s="95" t="n">
        <x:v>0</x:v>
      </x:c>
      <x:c r="K36" s="95" t="n">
        <x:v>0</x:v>
      </x:c>
      <x:c r="L36" s="95" t="n">
        <x:v>0</x:v>
      </x:c>
      <x:c r="M36" s="89" t="n">
        <x:v>9</x:v>
      </x:c>
      <x:c r="N36" s="89" t="n">
        <x:v>0</x:v>
      </x:c>
      <x:c r="O36" s="89" t="n">
        <x:v>0</x:v>
      </x:c>
      <x:c r="P36" s="89" t="str">
        <x:v>원자료 기준 비제어</x:v>
      </x:c>
    </x:row>
    <x:row r="37">
      <x:c r="A37" s="89" t="n">
        <x:v>34</x:v>
      </x:c>
      <x:c r="B37" s="89" t="str">
        <x:v>선풍기·서큘레이터</x:v>
      </x:c>
      <x:c r="C37" s="89" t="str">
        <x:v>불가</x:v>
      </x:c>
      <x:c r="D37" s="89" t="str">
        <x:v>비제어</x:v>
      </x:c>
      <x:c r="E37" s="89" t="str">
        <x:v>N</x:v>
      </x:c>
      <x:c r="F37" s="89" t="str"/>
      <x:c r="G37" s="89" t="str"/>
      <x:c r="H37" s="89"/>
      <x:c r="I37" s="89"/>
      <x:c r="J37" s="95" t="n">
        <x:v>0</x:v>
      </x:c>
      <x:c r="K37" s="95" t="n">
        <x:v>0</x:v>
      </x:c>
      <x:c r="L37" s="95" t="n">
        <x:v>0</x:v>
      </x:c>
      <x:c r="M37" s="89" t="n">
        <x:v>9</x:v>
      </x:c>
      <x:c r="N37" s="89" t="n">
        <x:v>0</x:v>
      </x:c>
      <x:c r="O37" s="89" t="n">
        <x:v>0</x:v>
      </x:c>
      <x:c r="P37" s="89" t="str">
        <x:v>원자료 기준 비제어</x:v>
      </x:c>
    </x:row>
    <x:row r="38">
      <x:c r="A38" s="89" t="n">
        <x:v>35</x:v>
      </x:c>
      <x:c r="B38" s="89" t="str">
        <x:v>제습기</x:v>
      </x:c>
      <x:c r="C38" s="89" t="str">
        <x:v>불가</x:v>
      </x:c>
      <x:c r="D38" s="89" t="str">
        <x:v>비제어</x:v>
      </x:c>
      <x:c r="E38" s="89" t="str">
        <x:v>N</x:v>
      </x:c>
      <x:c r="F38" s="89" t="str"/>
      <x:c r="G38" s="89" t="str"/>
      <x:c r="H38" s="89"/>
      <x:c r="I38" s="89"/>
      <x:c r="J38" s="95" t="n">
        <x:v>0</x:v>
      </x:c>
      <x:c r="K38" s="95" t="n">
        <x:v>0</x:v>
      </x:c>
      <x:c r="L38" s="95" t="n">
        <x:v>0</x:v>
      </x:c>
      <x:c r="M38" s="89" t="n">
        <x:v>9</x:v>
      </x:c>
      <x:c r="N38" s="89" t="n">
        <x:v>0</x:v>
      </x:c>
      <x:c r="O38" s="89" t="n">
        <x:v>0</x:v>
      </x:c>
      <x:c r="P38" s="89" t="str">
        <x:v>원자료 기준 비제어</x:v>
      </x:c>
    </x:row>
    <x:row r="39">
      <x:c r="A39" s="89" t="n">
        <x:v>36</x:v>
      </x:c>
      <x:c r="B39" s="89" t="str">
        <x:v>히트펌프난방</x:v>
      </x:c>
      <x:c r="C39" s="89" t="str">
        <x:v>가능</x:v>
      </x:c>
      <x:c r="D39" s="89" t="str">
        <x:v>출력조정</x:v>
      </x:c>
      <x:c r="E39" s="89" t="str">
        <x:v>Y</x:v>
      </x:c>
      <x:c r="F39" s="89" t="str"/>
      <x:c r="G39" s="89" t="str"/>
      <x:c r="H39" s="89"/>
      <x:c r="I39" s="89"/>
      <x:c r="J39" s="95" t="n">
        <x:v>0.05</x:v>
      </x:c>
      <x:c r="K39" s="95" t="n">
        <x:v>0.1</x:v>
      </x:c>
      <x:c r="L39" s="95" t="n">
        <x:v>0.15</x:v>
      </x:c>
      <x:c r="M39" s="89" t="n">
        <x:v>6</x:v>
      </x:c>
      <x:c r="N39" s="89" t="n">
        <x:v>0</x:v>
      </x:c>
      <x:c r="O39" s="89" t="n">
        <x:v>1</x:v>
      </x:c>
      <x:c r="P39" s="89" t="str">
        <x:v>사용 중인 시간대에서만 출력 감축</x:v>
      </x:c>
    </x:row>
    <x:row r="40">
      <x:c r="A40" s="89" t="n">
        <x:v>37</x:v>
      </x:c>
      <x:c r="B40" s="89" t="str">
        <x:v>전기장판·온수매트</x:v>
      </x:c>
      <x:c r="C40" s="89" t="str">
        <x:v>불가</x:v>
      </x:c>
      <x:c r="D40" s="89" t="str">
        <x:v>비제어</x:v>
      </x:c>
      <x:c r="E40" s="89" t="str">
        <x:v>N</x:v>
      </x:c>
      <x:c r="F40" s="89" t="str"/>
      <x:c r="G40" s="89" t="str"/>
      <x:c r="H40" s="89"/>
      <x:c r="I40" s="89"/>
      <x:c r="J40" s="95" t="n">
        <x:v>0</x:v>
      </x:c>
      <x:c r="K40" s="95" t="n">
        <x:v>0</x:v>
      </x:c>
      <x:c r="L40" s="95" t="n">
        <x:v>0</x:v>
      </x:c>
      <x:c r="M40" s="89" t="n">
        <x:v>9</x:v>
      </x:c>
      <x:c r="N40" s="89" t="n">
        <x:v>0</x:v>
      </x:c>
      <x:c r="O40" s="89" t="n">
        <x:v>0</x:v>
      </x:c>
      <x:c r="P40" s="89" t="str">
        <x:v>원자료 기준 비제어</x:v>
      </x:c>
    </x:row>
    <x:row r="41">
      <x:c r="A41" s="89" t="n">
        <x:v>38</x:v>
      </x:c>
      <x:c r="B41" s="89" t="str">
        <x:v>전기히터·온풍기</x:v>
      </x:c>
      <x:c r="C41" s="89" t="str">
        <x:v>불가</x:v>
      </x:c>
      <x:c r="D41" s="89" t="str">
        <x:v>비제어</x:v>
      </x:c>
      <x:c r="E41" s="89" t="str">
        <x:v>N</x:v>
      </x:c>
      <x:c r="F41" s="89" t="str"/>
      <x:c r="G41" s="89" t="str"/>
      <x:c r="H41" s="89"/>
      <x:c r="I41" s="89"/>
      <x:c r="J41" s="95" t="n">
        <x:v>0</x:v>
      </x:c>
      <x:c r="K41" s="95" t="n">
        <x:v>0</x:v>
      </x:c>
      <x:c r="L41" s="95" t="n">
        <x:v>0</x:v>
      </x:c>
      <x:c r="M41" s="89" t="n">
        <x:v>9</x:v>
      </x:c>
      <x:c r="N41" s="89" t="n">
        <x:v>0</x:v>
      </x:c>
      <x:c r="O41" s="89" t="n">
        <x:v>0</x:v>
      </x:c>
      <x:c r="P41" s="89" t="str">
        <x:v>원자료 기준 비제어</x:v>
      </x:c>
    </x:row>
    <x:row r="42">
      <x:c r="A42" s="89" t="n">
        <x:v>39</x:v>
      </x:c>
      <x:c r="B42" s="89" t="str">
        <x:v>가습기</x:v>
      </x:c>
      <x:c r="C42" s="89" t="str">
        <x:v>불가</x:v>
      </x:c>
      <x:c r="D42" s="89" t="str">
        <x:v>비제어</x:v>
      </x:c>
      <x:c r="E42" s="89" t="str">
        <x:v>N</x:v>
      </x:c>
      <x:c r="F42" s="89" t="str"/>
      <x:c r="G42" s="89" t="str"/>
      <x:c r="H42" s="89"/>
      <x:c r="I42" s="89"/>
      <x:c r="J42" s="95" t="n">
        <x:v>0</x:v>
      </x:c>
      <x:c r="K42" s="95" t="n">
        <x:v>0</x:v>
      </x:c>
      <x:c r="L42" s="95" t="n">
        <x:v>0</x:v>
      </x:c>
      <x:c r="M42" s="89" t="n">
        <x:v>9</x:v>
      </x:c>
      <x:c r="N42" s="89" t="n">
        <x:v>0</x:v>
      </x:c>
      <x:c r="O42" s="89" t="n">
        <x:v>0</x:v>
      </x:c>
      <x:c r="P42" s="89" t="str">
        <x:v>원자료 기준 비제어</x:v>
      </x:c>
    </x:row>
    <x:row r="43">
      <x:c r="A43" s="89" t="n">
        <x:v>40</x:v>
      </x:c>
      <x:c r="B43" s="89" t="str">
        <x:v>보일러순환펌프</x:v>
      </x:c>
      <x:c r="C43" s="89" t="str">
        <x:v>가능</x:v>
      </x:c>
      <x:c r="D43" s="89" t="str">
        <x:v>비제어</x:v>
      </x:c>
      <x:c r="E43" s="89" t="str">
        <x:v>N</x:v>
      </x:c>
      <x:c r="F43" s="89" t="str"/>
      <x:c r="G43" s="89" t="str"/>
      <x:c r="H43" s="89"/>
      <x:c r="I43" s="89"/>
      <x:c r="J43" s="95" t="n">
        <x:v>0</x:v>
      </x:c>
      <x:c r="K43" s="95" t="n">
        <x:v>0</x:v>
      </x:c>
      <x:c r="L43" s="95" t="n">
        <x:v>0</x:v>
      </x:c>
      <x:c r="M43" s="89" t="n">
        <x:v>9</x:v>
      </x:c>
      <x:c r="N43" s="89" t="n">
        <x:v>0</x:v>
      </x:c>
      <x:c r="O43" s="89" t="n">
        <x:v>0</x:v>
      </x:c>
      <x:c r="P43" s="89" t="str">
        <x:v>초기 버전에서는 안전·쾌적성상 비제어</x:v>
      </x:c>
    </x:row>
    <x:row r="44">
      <x:c r="A44" s="89" t="n">
        <x:v>41</x:v>
      </x:c>
      <x:c r="B44" s="89" t="str">
        <x:v>욕실난방기</x:v>
      </x:c>
      <x:c r="C44" s="89" t="str">
        <x:v>불가</x:v>
      </x:c>
      <x:c r="D44" s="89" t="str">
        <x:v>비제어</x:v>
      </x:c>
      <x:c r="E44" s="89" t="str">
        <x:v>N</x:v>
      </x:c>
      <x:c r="F44" s="89" t="str"/>
      <x:c r="G44" s="89" t="str"/>
      <x:c r="H44" s="89"/>
      <x:c r="I44" s="89"/>
      <x:c r="J44" s="95" t="n">
        <x:v>0</x:v>
      </x:c>
      <x:c r="K44" s="95" t="n">
        <x:v>0</x:v>
      </x:c>
      <x:c r="L44" s="95" t="n">
        <x:v>0</x:v>
      </x:c>
      <x:c r="M44" s="89" t="n">
        <x:v>9</x:v>
      </x:c>
      <x:c r="N44" s="89" t="n">
        <x:v>0</x:v>
      </x:c>
      <x:c r="O44" s="89" t="n">
        <x:v>0</x:v>
      </x:c>
      <x:c r="P44" s="89" t="str">
        <x:v>원자료 기준 비제어</x:v>
      </x:c>
    </x:row>
  </x:sheetData>
  <x:mergeCells>
    <x:mergeCell ref="A1:P1"/>
  </x:mergeCells>
  <x:dataValidations count="2">
    <x:dataValidation type="list" sqref="D4:D44">
      <x:formula1>"비제어,에너지이동,사이클이동,출력조정,행동제어,알림"</x:formula1>
    </x:dataValidation>
    <x:dataValidation type="list" sqref="E4:E44">
      <x:formula1>"Y,N"</x:formula1>
    </x:dataValidation>
  </x:dataValidations>
  <x:pageMargins left="0.7" right="0.7" top="0.75" bottom="0.75" header="0.3" footer="0.3"/>
</x:worksheet>
</file>